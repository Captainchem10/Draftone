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emilio/Documents/M.S Sustainability Analytics &amp; Management/SAM503 - ESG Analytics and Management/SW Project/Analytics Portfolio/2 Excel Models/"/>
    </mc:Choice>
  </mc:AlternateContent>
  <xr:revisionPtr revIDLastSave="0" documentId="13_ncr:1_{34ED5214-538A-5547-96B4-F93FCF495385}" xr6:coauthVersionLast="47" xr6:coauthVersionMax="47" xr10:uidLastSave="{00000000-0000-0000-0000-000000000000}"/>
  <bookViews>
    <workbookView xWindow="0" yWindow="0" windowWidth="38400" windowHeight="21600" activeTab="2" xr2:uid="{00000000-000D-0000-FFFF-FFFF00000000}"/>
  </bookViews>
  <sheets>
    <sheet name="Content" sheetId="1" r:id="rId1"/>
    <sheet name="1_Dictionary_Checklist" sheetId="2" r:id="rId2"/>
    <sheet name="Sheet1" sheetId="13" r:id="rId3"/>
    <sheet name="ESG" sheetId="12" r:id="rId4"/>
    <sheet name="E Data_Inventory" sheetId="3" r:id="rId5"/>
    <sheet name="S Data_Inventory " sheetId="9" r:id="rId6"/>
    <sheet name="G Data_Inventory " sheetId="8" r:id="rId7"/>
    <sheet name="P Data_Inventory" sheetId="10" r:id="rId8"/>
    <sheet name="3_Cross-Source Compare" sheetId="4" r:id="rId9"/>
    <sheet name="4_Summary" sheetId="5" r:id="rId10"/>
    <sheet name="Tables_for_Reference" sheetId="6" r:id="rId11"/>
    <sheet name="zz_Helper_Calcs" sheetId="7" r:id="rId12"/>
  </sheets>
  <definedNames>
    <definedName name="_xlnm._FilterDatabase" localSheetId="4" hidden="1">'E Data_Inventory'!$A$3:$R$240</definedName>
    <definedName name="_xlnm._FilterDatabase" localSheetId="3" hidden="1">ESG!$A$1:$G$342</definedName>
    <definedName name="_xlnm._FilterDatabase" localSheetId="6" hidden="1">'G Data_Inventory '!$A$3:$R$70</definedName>
    <definedName name="_xlnm._FilterDatabase" localSheetId="7" hidden="1">'P Data_Inventory'!$B$1:$G$70</definedName>
    <definedName name="_xlnm._FilterDatabase" localSheetId="5" hidden="1">'S Data_Inventory '!$A$3:$R$83</definedName>
    <definedName name="S_Paper_Production_2019">'P Data_Inventory'!$D$2</definedName>
  </definedNames>
  <calcPr calcId="191028"/>
  <pivotCaches>
    <pivotCache cacheId="637"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2" l="1"/>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2" i="12"/>
  <c r="H2" i="12"/>
  <c r="H262" i="12"/>
  <c r="H33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3" i="12"/>
  <c r="H334" i="12"/>
  <c r="H335" i="12"/>
  <c r="H336" i="12"/>
  <c r="H337" i="12"/>
  <c r="H338" i="12"/>
  <c r="H339" i="12"/>
  <c r="H340" i="12"/>
  <c r="H341" i="12"/>
  <c r="H342" i="12"/>
  <c r="D295" i="12"/>
  <c r="H295" i="12" s="1"/>
  <c r="B8" i="5"/>
  <c r="B9" i="5"/>
  <c r="B7" i="5"/>
  <c r="B6" i="5"/>
  <c r="N4" i="9"/>
  <c r="N83" i="9"/>
  <c r="N81" i="9"/>
  <c r="N79" i="9"/>
  <c r="N78" i="9"/>
  <c r="N77" i="9"/>
  <c r="N76" i="9"/>
  <c r="N75" i="9"/>
  <c r="N74" i="9"/>
  <c r="N73" i="9"/>
  <c r="N72" i="9"/>
  <c r="N71" i="9"/>
  <c r="N70" i="9"/>
  <c r="N68" i="9"/>
  <c r="N66" i="9"/>
  <c r="N64" i="9"/>
  <c r="N62" i="9"/>
  <c r="N61" i="9"/>
  <c r="N60" i="9"/>
  <c r="N59" i="9"/>
  <c r="N58" i="9"/>
  <c r="N57" i="9"/>
  <c r="N56" i="9"/>
  <c r="N53" i="9"/>
  <c r="N52" i="9"/>
  <c r="N51" i="9"/>
  <c r="N50" i="9"/>
  <c r="N49" i="9"/>
  <c r="N48" i="9"/>
  <c r="N47" i="9"/>
  <c r="N46" i="9"/>
  <c r="N45" i="9"/>
  <c r="N44" i="9"/>
  <c r="N42" i="9"/>
  <c r="N41" i="9"/>
  <c r="N40" i="9"/>
  <c r="N39" i="9"/>
  <c r="N38" i="9"/>
  <c r="N37" i="9"/>
  <c r="N36" i="9"/>
  <c r="N35" i="9"/>
  <c r="N34" i="9"/>
  <c r="N33" i="9"/>
  <c r="N32" i="9"/>
  <c r="N31" i="9"/>
  <c r="N29" i="9"/>
  <c r="N28" i="9"/>
  <c r="N27" i="9"/>
  <c r="N26" i="9"/>
  <c r="N25" i="9"/>
  <c r="N24" i="9"/>
  <c r="N23" i="9"/>
  <c r="N22" i="9"/>
  <c r="N21" i="9"/>
  <c r="N20" i="9"/>
  <c r="N19" i="9"/>
  <c r="N18" i="9"/>
  <c r="N17" i="9"/>
  <c r="N16" i="9"/>
  <c r="N15" i="9"/>
  <c r="N14" i="9"/>
  <c r="N13" i="9"/>
  <c r="N12" i="9"/>
  <c r="N11" i="9"/>
  <c r="N10" i="9"/>
  <c r="N9" i="9"/>
  <c r="N8" i="9"/>
  <c r="N7" i="9"/>
  <c r="N6" i="9"/>
  <c r="N5" i="9"/>
  <c r="I295" i="12" l="1"/>
  <c r="B10" i="5"/>
  <c r="P137" i="3" l="1"/>
  <c r="Q137" i="3" s="1"/>
  <c r="P132" i="3"/>
  <c r="Q132" i="3" s="1"/>
  <c r="P139" i="3"/>
  <c r="Q139" i="3" s="1"/>
  <c r="P131" i="3"/>
  <c r="Q131" i="3" s="1"/>
  <c r="P143" i="3"/>
  <c r="Q143" i="3" s="1"/>
  <c r="P134" i="3"/>
  <c r="Q134" i="3" s="1"/>
  <c r="P146" i="3"/>
  <c r="Q146" i="3" s="1"/>
  <c r="P133" i="3"/>
  <c r="Q133" i="3" s="1"/>
  <c r="P142" i="3"/>
  <c r="Q142" i="3" s="1"/>
  <c r="P130" i="3"/>
  <c r="Q130" i="3" s="1"/>
  <c r="P145" i="3"/>
  <c r="Q145" i="3" s="1"/>
  <c r="P129" i="3"/>
  <c r="Q129" i="3" s="1"/>
  <c r="P70" i="8"/>
  <c r="Q70" i="8" s="1"/>
  <c r="P15" i="8"/>
  <c r="P16" i="8"/>
  <c r="Q16" i="8" s="1"/>
  <c r="P17" i="8"/>
  <c r="Q17" i="8" s="1"/>
  <c r="P18" i="8"/>
  <c r="Q18" i="8" s="1"/>
  <c r="P19" i="8"/>
  <c r="Q19" i="8" s="1"/>
  <c r="P20" i="8"/>
  <c r="Q20" i="8" s="1"/>
  <c r="P21" i="8"/>
  <c r="Q21" i="8" s="1"/>
  <c r="P22" i="8"/>
  <c r="Q22" i="8" s="1"/>
  <c r="P23" i="8"/>
  <c r="Q23" i="8" s="1"/>
  <c r="P24" i="8"/>
  <c r="Q24" i="8" s="1"/>
  <c r="P25" i="8"/>
  <c r="Q25" i="8" s="1"/>
  <c r="E37" i="8"/>
  <c r="P36" i="8"/>
  <c r="Q36" i="8" s="1"/>
  <c r="P35" i="8"/>
  <c r="Q35" i="8" s="1"/>
  <c r="P34" i="8"/>
  <c r="Q34" i="8" s="1"/>
  <c r="P33" i="8"/>
  <c r="Q33" i="8" s="1"/>
  <c r="P32" i="8"/>
  <c r="Q32" i="8" s="1"/>
  <c r="P31" i="8"/>
  <c r="Q31" i="8" s="1"/>
  <c r="P30" i="8"/>
  <c r="Q30" i="8" s="1"/>
  <c r="P29" i="8"/>
  <c r="Q29" i="8" s="1"/>
  <c r="P28" i="8"/>
  <c r="Q28" i="8" s="1"/>
  <c r="P27" i="8"/>
  <c r="Q27" i="8" s="1"/>
  <c r="P26" i="8"/>
  <c r="Q26" i="8" s="1"/>
  <c r="O60" i="10"/>
  <c r="P60" i="10" s="1"/>
  <c r="O61" i="10"/>
  <c r="P61" i="10"/>
  <c r="O62" i="10"/>
  <c r="P62" i="10" s="1"/>
  <c r="O63" i="10"/>
  <c r="P63" i="10" s="1"/>
  <c r="O64" i="10"/>
  <c r="P64" i="10" s="1"/>
  <c r="O65" i="10"/>
  <c r="P65" i="10" s="1"/>
  <c r="O66" i="10"/>
  <c r="P66" i="10" s="1"/>
  <c r="O67" i="10"/>
  <c r="P67" i="10" s="1"/>
  <c r="O68" i="10"/>
  <c r="P68" i="10"/>
  <c r="O69" i="10"/>
  <c r="P69" i="10" s="1"/>
  <c r="O70" i="10"/>
  <c r="P70" i="10" s="1"/>
  <c r="O49" i="10"/>
  <c r="P49" i="10" s="1"/>
  <c r="O50" i="10"/>
  <c r="P50" i="10" s="1"/>
  <c r="O51" i="10"/>
  <c r="P51" i="10" s="1"/>
  <c r="O52" i="10"/>
  <c r="P52" i="10" s="1"/>
  <c r="O53" i="10"/>
  <c r="P53" i="10"/>
  <c r="O54" i="10"/>
  <c r="P54" i="10" s="1"/>
  <c r="O55" i="10"/>
  <c r="P55" i="10" s="1"/>
  <c r="O56" i="10"/>
  <c r="P56" i="10" s="1"/>
  <c r="O57" i="10"/>
  <c r="P57" i="10" s="1"/>
  <c r="O58" i="10"/>
  <c r="P58" i="10" s="1"/>
  <c r="O59" i="10"/>
  <c r="P59" i="10" s="1"/>
  <c r="O48" i="10"/>
  <c r="P48" i="10" s="1"/>
  <c r="O47" i="10"/>
  <c r="P47" i="10" s="1"/>
  <c r="O46" i="10"/>
  <c r="P46" i="10" s="1"/>
  <c r="O45" i="10"/>
  <c r="P45" i="10" s="1"/>
  <c r="O44" i="10"/>
  <c r="P44" i="10" s="1"/>
  <c r="O43" i="10"/>
  <c r="P43" i="10" s="1"/>
  <c r="O42" i="10"/>
  <c r="P42" i="10" s="1"/>
  <c r="O41" i="10"/>
  <c r="P41" i="10" s="1"/>
  <c r="O40" i="10"/>
  <c r="P40" i="10" s="1"/>
  <c r="O39" i="10"/>
  <c r="P39" i="10" s="1"/>
  <c r="O38" i="10"/>
  <c r="P38" i="10" s="1"/>
  <c r="O26" i="10"/>
  <c r="P26" i="10" s="1"/>
  <c r="O25" i="10"/>
  <c r="P25" i="10" s="1"/>
  <c r="O24" i="10"/>
  <c r="P24" i="10" s="1"/>
  <c r="O23" i="10"/>
  <c r="P23" i="10" s="1"/>
  <c r="O22" i="10"/>
  <c r="P22" i="10" s="1"/>
  <c r="O21" i="10"/>
  <c r="P21" i="10" s="1"/>
  <c r="O20" i="10"/>
  <c r="P20" i="10" s="1"/>
  <c r="O19" i="10"/>
  <c r="P19" i="10" s="1"/>
  <c r="O18" i="10"/>
  <c r="P18" i="10" s="1"/>
  <c r="O17" i="10"/>
  <c r="P17" i="10" s="1"/>
  <c r="O16" i="10"/>
  <c r="P16" i="10" s="1"/>
  <c r="O15" i="10"/>
  <c r="P15" i="10" s="1"/>
  <c r="O14" i="10"/>
  <c r="P14" i="10" s="1"/>
  <c r="O13" i="10"/>
  <c r="P13" i="10" s="1"/>
  <c r="O12" i="10"/>
  <c r="P12" i="10" s="1"/>
  <c r="O11" i="10"/>
  <c r="P11" i="10" s="1"/>
  <c r="O10" i="10"/>
  <c r="P10" i="10" s="1"/>
  <c r="O9" i="10"/>
  <c r="P9" i="10" s="1"/>
  <c r="O8" i="10"/>
  <c r="P8" i="10" s="1"/>
  <c r="O7" i="10"/>
  <c r="P7" i="10" s="1"/>
  <c r="O6" i="10"/>
  <c r="P6" i="10" s="1"/>
  <c r="O5" i="10"/>
  <c r="P5" i="10" s="1"/>
  <c r="O4" i="10"/>
  <c r="P4" i="10" s="1"/>
  <c r="O3" i="10"/>
  <c r="P3" i="10" s="1"/>
  <c r="O2" i="10"/>
  <c r="O37" i="10"/>
  <c r="P37" i="10" s="1"/>
  <c r="O36" i="10"/>
  <c r="P36" i="10" s="1"/>
  <c r="O35" i="10"/>
  <c r="P35" i="10" s="1"/>
  <c r="O34" i="10"/>
  <c r="P34" i="10" s="1"/>
  <c r="O33" i="10"/>
  <c r="P33" i="10" s="1"/>
  <c r="O32" i="10"/>
  <c r="P32" i="10" s="1"/>
  <c r="O31" i="10"/>
  <c r="P31" i="10" s="1"/>
  <c r="O30" i="10"/>
  <c r="P30" i="10" s="1"/>
  <c r="O29" i="10"/>
  <c r="P29" i="10" s="1"/>
  <c r="O28" i="10"/>
  <c r="P28" i="10" s="1"/>
  <c r="O27" i="10"/>
  <c r="P27" i="10" s="1"/>
  <c r="P69" i="8"/>
  <c r="Q69" i="8" s="1"/>
  <c r="P68" i="8"/>
  <c r="Q68" i="8" s="1"/>
  <c r="P58" i="8"/>
  <c r="Q58" i="8" s="1"/>
  <c r="P57" i="8"/>
  <c r="Q57" i="8" s="1"/>
  <c r="P47" i="8"/>
  <c r="Q47" i="8" s="1"/>
  <c r="P46" i="8"/>
  <c r="Q46" i="8" s="1"/>
  <c r="P14" i="8"/>
  <c r="Q14" i="8" s="1"/>
  <c r="P13" i="8"/>
  <c r="Q13" i="8" s="1"/>
  <c r="P2" i="10" l="1"/>
  <c r="C9" i="5"/>
  <c r="Q15" i="8"/>
  <c r="D14" i="10"/>
  <c r="E11" i="9"/>
  <c r="E56" i="9"/>
  <c r="E64" i="9"/>
  <c r="E77" i="9"/>
  <c r="E37" i="9" s="1"/>
  <c r="P11" i="9"/>
  <c r="Q11" i="9" s="1"/>
  <c r="P29" i="9"/>
  <c r="Q29" i="9" s="1"/>
  <c r="P37" i="9"/>
  <c r="Q37" i="9" s="1"/>
  <c r="P56" i="9"/>
  <c r="Q56" i="9" s="1"/>
  <c r="P64" i="9"/>
  <c r="Q64" i="9" s="1"/>
  <c r="P77" i="9"/>
  <c r="Q77" i="9" s="1"/>
  <c r="P191" i="3"/>
  <c r="Q191" i="3" s="1"/>
  <c r="P125" i="3"/>
  <c r="Q125" i="3" s="1"/>
  <c r="P126" i="3"/>
  <c r="Q126" i="3" s="1"/>
  <c r="P127" i="3"/>
  <c r="Q127" i="3" s="1"/>
  <c r="P128" i="3"/>
  <c r="Q128" i="3" s="1"/>
  <c r="P124" i="3"/>
  <c r="Q124" i="3" s="1"/>
  <c r="P123" i="3"/>
  <c r="Q123" i="3" s="1"/>
  <c r="P240" i="3"/>
  <c r="Q240" i="3" s="1"/>
  <c r="P149" i="3"/>
  <c r="Q149" i="3" s="1"/>
  <c r="P239" i="3"/>
  <c r="Q239" i="3" s="1"/>
  <c r="P238" i="3"/>
  <c r="Q238" i="3" s="1"/>
  <c r="P237" i="3"/>
  <c r="Q237" i="3" s="1"/>
  <c r="P236" i="3"/>
  <c r="Q236" i="3" s="1"/>
  <c r="P135" i="3"/>
  <c r="Q135" i="3" s="1"/>
  <c r="P42" i="3"/>
  <c r="Q42" i="3" s="1"/>
  <c r="P43" i="3"/>
  <c r="Q43" i="3" s="1"/>
  <c r="P44" i="3"/>
  <c r="Q44" i="3" s="1"/>
  <c r="P46" i="3"/>
  <c r="Q46" i="3" s="1"/>
  <c r="P41" i="3"/>
  <c r="Q41" i="3" s="1"/>
  <c r="P45" i="3"/>
  <c r="Q45" i="3" s="1"/>
  <c r="P224" i="3"/>
  <c r="Q224" i="3" s="1"/>
  <c r="P71" i="3"/>
  <c r="Q71" i="3" s="1"/>
  <c r="P223" i="3"/>
  <c r="Q223" i="3" s="1"/>
  <c r="P69" i="3"/>
  <c r="Q69" i="3" s="1"/>
  <c r="P222" i="3"/>
  <c r="Q222" i="3" s="1"/>
  <c r="P70" i="3"/>
  <c r="Q70" i="3" s="1"/>
  <c r="P30" i="3"/>
  <c r="Q30" i="3" s="1"/>
  <c r="P14" i="3"/>
  <c r="Q14" i="3" s="1"/>
  <c r="P31" i="3"/>
  <c r="Q31" i="3" s="1"/>
  <c r="P33" i="3"/>
  <c r="Q33" i="3" s="1"/>
  <c r="P38" i="3"/>
  <c r="Q38" i="3" s="1"/>
  <c r="P47" i="3"/>
  <c r="Q47" i="3" s="1"/>
  <c r="P208" i="3"/>
  <c r="Q208" i="3" s="1"/>
  <c r="P85" i="3"/>
  <c r="Q85" i="3" s="1"/>
  <c r="P87" i="3"/>
  <c r="Q87" i="3" s="1"/>
  <c r="P91" i="3"/>
  <c r="Q91" i="3" s="1"/>
  <c r="P94" i="3"/>
  <c r="Q94" i="3" s="1"/>
  <c r="P92" i="3"/>
  <c r="Q92" i="3" s="1"/>
  <c r="P96" i="3"/>
  <c r="Q96" i="3" s="1"/>
  <c r="P97" i="3"/>
  <c r="Q97" i="3" s="1"/>
  <c r="P89" i="3"/>
  <c r="Q89" i="3" s="1"/>
  <c r="P88" i="3"/>
  <c r="Q88" i="3" s="1"/>
  <c r="P90" i="3"/>
  <c r="Q90" i="3" s="1"/>
  <c r="P86" i="3"/>
  <c r="Q86" i="3" s="1"/>
  <c r="P83" i="3"/>
  <c r="Q83" i="3" s="1"/>
  <c r="P117" i="3"/>
  <c r="Q117" i="3" s="1"/>
  <c r="P113" i="3"/>
  <c r="Q113" i="3" s="1"/>
  <c r="P99" i="3"/>
  <c r="Q99" i="3" s="1"/>
  <c r="P93" i="3"/>
  <c r="Q93" i="3" s="1"/>
  <c r="P225" i="3"/>
  <c r="Q225" i="3" s="1"/>
  <c r="P229" i="3"/>
  <c r="Q229" i="3" s="1"/>
  <c r="P231" i="3"/>
  <c r="Q231" i="3" s="1"/>
  <c r="P39" i="3"/>
  <c r="Q39" i="3" s="1"/>
  <c r="P37" i="3"/>
  <c r="Q37" i="3" s="1"/>
  <c r="P36" i="3"/>
  <c r="Q36" i="3" s="1"/>
  <c r="P32" i="3"/>
  <c r="Q32" i="3" s="1"/>
  <c r="P34" i="3"/>
  <c r="Q34" i="3" s="1"/>
  <c r="P21" i="3"/>
  <c r="Q21" i="3" s="1"/>
  <c r="P59" i="3"/>
  <c r="Q59" i="3" s="1"/>
  <c r="P56" i="3"/>
  <c r="Q56" i="3" s="1"/>
  <c r="P57" i="3"/>
  <c r="Q57" i="3" s="1"/>
  <c r="P58" i="3"/>
  <c r="Q58" i="3" s="1"/>
  <c r="P55" i="3"/>
  <c r="Q55" i="3" s="1"/>
  <c r="P54" i="3"/>
  <c r="Q54" i="3" s="1"/>
  <c r="P4" i="3"/>
  <c r="P6" i="3"/>
  <c r="Q6" i="3" s="1"/>
  <c r="P5" i="3"/>
  <c r="Q5" i="3" s="1"/>
  <c r="P7" i="3"/>
  <c r="Q7" i="3" s="1"/>
  <c r="P8" i="3"/>
  <c r="Q8" i="3" s="1"/>
  <c r="P9" i="3"/>
  <c r="Q9" i="3" s="1"/>
  <c r="P157" i="3"/>
  <c r="Q157" i="3" s="1"/>
  <c r="P161" i="3"/>
  <c r="Q161" i="3" s="1"/>
  <c r="P158" i="3"/>
  <c r="Q158" i="3" s="1"/>
  <c r="P159" i="3"/>
  <c r="Q159" i="3" s="1"/>
  <c r="P156" i="3"/>
  <c r="Q156" i="3" s="1"/>
  <c r="P155" i="3"/>
  <c r="Q155" i="3" s="1"/>
  <c r="P19" i="3"/>
  <c r="Q19" i="3" s="1"/>
  <c r="P27" i="3"/>
  <c r="Q27" i="3" s="1"/>
  <c r="P40" i="3"/>
  <c r="Q40" i="3" s="1"/>
  <c r="P232" i="3"/>
  <c r="Q232" i="3" s="1"/>
  <c r="P53" i="3"/>
  <c r="Q53" i="3" s="1"/>
  <c r="P219" i="3"/>
  <c r="Q219" i="3" s="1"/>
  <c r="P205" i="3"/>
  <c r="Q205" i="3" s="1"/>
  <c r="P197" i="3"/>
  <c r="Q197" i="3" s="1"/>
  <c r="P166" i="3"/>
  <c r="Q166" i="3" s="1"/>
  <c r="P160" i="3"/>
  <c r="Q160" i="3" s="1"/>
  <c r="P217" i="3"/>
  <c r="Q217" i="3" s="1"/>
  <c r="P209" i="3"/>
  <c r="Q209" i="3" s="1"/>
  <c r="P188" i="3"/>
  <c r="Q188" i="3" s="1"/>
  <c r="P180" i="3"/>
  <c r="Q180" i="3" s="1"/>
  <c r="P26" i="3"/>
  <c r="Q26" i="3" s="1"/>
  <c r="P23" i="3"/>
  <c r="Q23" i="3" s="1"/>
  <c r="P28" i="3"/>
  <c r="Q28" i="3" s="1"/>
  <c r="P35" i="3"/>
  <c r="Q35" i="3" s="1"/>
  <c r="P29" i="3"/>
  <c r="Q29" i="3" s="1"/>
  <c r="P22" i="3"/>
  <c r="Q22" i="3" s="1"/>
  <c r="P18" i="3"/>
  <c r="Q18" i="3" s="1"/>
  <c r="P15" i="3"/>
  <c r="Q15" i="3" s="1"/>
  <c r="P17" i="3"/>
  <c r="Q17" i="3" s="1"/>
  <c r="P20" i="3"/>
  <c r="Q20" i="3" s="1"/>
  <c r="P13" i="3"/>
  <c r="Q13" i="3" s="1"/>
  <c r="P11" i="3"/>
  <c r="Q11" i="3" s="1"/>
  <c r="P171" i="3"/>
  <c r="Q171" i="3" s="1"/>
  <c r="P172" i="3"/>
  <c r="Q172" i="3" s="1"/>
  <c r="P174" i="3"/>
  <c r="Q174" i="3" s="1"/>
  <c r="P170" i="3"/>
  <c r="Q170" i="3" s="1"/>
  <c r="P169" i="3"/>
  <c r="Q169" i="3" s="1"/>
  <c r="P167" i="3"/>
  <c r="Q167" i="3" s="1"/>
  <c r="P13" i="9"/>
  <c r="Q13" i="9" s="1"/>
  <c r="P81" i="9"/>
  <c r="Q81" i="9" s="1"/>
  <c r="P12" i="9"/>
  <c r="Q12" i="9" s="1"/>
  <c r="P79" i="9"/>
  <c r="Q79" i="9" s="1"/>
  <c r="P33" i="9"/>
  <c r="Q33" i="9" s="1"/>
  <c r="P83" i="9"/>
  <c r="Q83" i="9" s="1"/>
  <c r="P9" i="9"/>
  <c r="Q9" i="9" s="1"/>
  <c r="P75" i="9"/>
  <c r="Q75" i="9" s="1"/>
  <c r="P62" i="9"/>
  <c r="Q62" i="9" s="1"/>
  <c r="P7" i="9"/>
  <c r="Q7" i="9" s="1"/>
  <c r="P73" i="9"/>
  <c r="Q73" i="9" s="1"/>
  <c r="P80" i="9"/>
  <c r="Q80" i="9" s="1"/>
  <c r="P72" i="9"/>
  <c r="Q72" i="9" s="1"/>
  <c r="P55" i="9"/>
  <c r="Q55" i="9" s="1"/>
  <c r="P50" i="9"/>
  <c r="Q50" i="9" s="1"/>
  <c r="P30" i="9"/>
  <c r="Q30" i="9" s="1"/>
  <c r="P19" i="9"/>
  <c r="Q19" i="9" s="1"/>
  <c r="P14" i="9"/>
  <c r="Q14" i="9" s="1"/>
  <c r="P20" i="9"/>
  <c r="Q20" i="9" s="1"/>
  <c r="P41" i="9"/>
  <c r="Q41" i="9" s="1"/>
  <c r="P40" i="9"/>
  <c r="Q40" i="9" s="1"/>
  <c r="P39" i="9"/>
  <c r="Q39" i="9" s="1"/>
  <c r="P38" i="9"/>
  <c r="Q38" i="9" s="1"/>
  <c r="P43" i="9"/>
  <c r="Q43" i="9" s="1"/>
  <c r="P210" i="3"/>
  <c r="Q210" i="3" s="1"/>
  <c r="P212" i="3"/>
  <c r="Q212" i="3" s="1"/>
  <c r="P214" i="3"/>
  <c r="Q214" i="3" s="1"/>
  <c r="P216" i="3"/>
  <c r="Q216" i="3" s="1"/>
  <c r="P73" i="3"/>
  <c r="Q73" i="3" s="1"/>
  <c r="P74" i="3"/>
  <c r="Q74" i="3" s="1"/>
  <c r="P72" i="3"/>
  <c r="Q72" i="3" s="1"/>
  <c r="P77" i="3"/>
  <c r="Q77" i="3" s="1"/>
  <c r="P76" i="3"/>
  <c r="Q76" i="3" s="1"/>
  <c r="P80" i="3"/>
  <c r="Q80" i="3" s="1"/>
  <c r="P79" i="3"/>
  <c r="Q79" i="3" s="1"/>
  <c r="P81" i="3"/>
  <c r="Q81" i="3" s="1"/>
  <c r="P82" i="3"/>
  <c r="Q82" i="3" s="1"/>
  <c r="P84" i="3"/>
  <c r="Q84" i="3" s="1"/>
  <c r="P78" i="3"/>
  <c r="Q78" i="3" s="1"/>
  <c r="P75" i="3"/>
  <c r="Q75" i="3" s="1"/>
  <c r="P187" i="3"/>
  <c r="Q187" i="3" s="1"/>
  <c r="P179" i="3"/>
  <c r="Q179" i="3" s="1"/>
  <c r="P176" i="3"/>
  <c r="Q176" i="3" s="1"/>
  <c r="P168" i="3"/>
  <c r="Q168" i="3" s="1"/>
  <c r="P206" i="3"/>
  <c r="Q206" i="3" s="1"/>
  <c r="P196" i="3"/>
  <c r="Q196" i="3" s="1"/>
  <c r="P49" i="3"/>
  <c r="Q49" i="3" s="1"/>
  <c r="P66" i="3"/>
  <c r="Q66" i="3" s="1"/>
  <c r="P154" i="3"/>
  <c r="Q154" i="3" s="1"/>
  <c r="P147" i="3"/>
  <c r="Q147" i="3" s="1"/>
  <c r="P65" i="3"/>
  <c r="Q65" i="3" s="1"/>
  <c r="P60" i="3"/>
  <c r="Q60" i="3" s="1"/>
  <c r="P106" i="3"/>
  <c r="Q106" i="3" s="1"/>
  <c r="P100" i="3"/>
  <c r="Q100" i="3" s="1"/>
  <c r="P105" i="3"/>
  <c r="Q105" i="3" s="1"/>
  <c r="P102" i="3"/>
  <c r="Q102" i="3" s="1"/>
  <c r="P103" i="3"/>
  <c r="Q103" i="3" s="1"/>
  <c r="P101" i="3"/>
  <c r="Q101" i="3" s="1"/>
  <c r="P190" i="3"/>
  <c r="Q190" i="3" s="1"/>
  <c r="P16" i="3"/>
  <c r="Q16" i="3" s="1"/>
  <c r="P218" i="3"/>
  <c r="Q218" i="3" s="1"/>
  <c r="P207" i="3"/>
  <c r="Q207" i="3" s="1"/>
  <c r="P163" i="3"/>
  <c r="Q163" i="3" s="1"/>
  <c r="P51" i="3"/>
  <c r="Q51" i="3" s="1"/>
  <c r="P153" i="3"/>
  <c r="Q153" i="3" s="1"/>
  <c r="P104" i="3"/>
  <c r="Q104" i="3" s="1"/>
  <c r="P230" i="3"/>
  <c r="Q230" i="3" s="1"/>
  <c r="P115" i="3"/>
  <c r="Q115" i="3" s="1"/>
  <c r="P186" i="3"/>
  <c r="Q186" i="3" s="1"/>
  <c r="P12" i="3"/>
  <c r="Q12" i="3" s="1"/>
  <c r="P215" i="3"/>
  <c r="Q215" i="3" s="1"/>
  <c r="P203" i="3"/>
  <c r="Q203" i="3" s="1"/>
  <c r="P164" i="3"/>
  <c r="Q164" i="3" s="1"/>
  <c r="P50" i="3"/>
  <c r="Q50" i="3" s="1"/>
  <c r="P151" i="3"/>
  <c r="Q151" i="3" s="1"/>
  <c r="P98" i="3"/>
  <c r="Q98" i="3" s="1"/>
  <c r="P228" i="3"/>
  <c r="Q228" i="3" s="1"/>
  <c r="P114" i="3"/>
  <c r="Q114" i="3" s="1"/>
  <c r="P184" i="3"/>
  <c r="Q184" i="3" s="1"/>
  <c r="P25" i="3"/>
  <c r="Q25" i="3" s="1"/>
  <c r="P213" i="3"/>
  <c r="Q213" i="3" s="1"/>
  <c r="P201" i="3"/>
  <c r="Q201" i="3" s="1"/>
  <c r="P165" i="3"/>
  <c r="Q165" i="3" s="1"/>
  <c r="P221" i="3"/>
  <c r="Q221" i="3" s="1"/>
  <c r="P235" i="3"/>
  <c r="Q235" i="3" s="1"/>
  <c r="P95" i="3"/>
  <c r="Q95" i="3" s="1"/>
  <c r="P227" i="3"/>
  <c r="Q227" i="3" s="1"/>
  <c r="P116" i="3"/>
  <c r="Q116" i="3" s="1"/>
  <c r="P182" i="3"/>
  <c r="Q182" i="3" s="1"/>
  <c r="P24" i="3"/>
  <c r="Q24" i="3" s="1"/>
  <c r="P211" i="3"/>
  <c r="Q211" i="3" s="1"/>
  <c r="P199" i="3"/>
  <c r="Q199" i="3" s="1"/>
  <c r="P162" i="3"/>
  <c r="Q162" i="3" s="1"/>
  <c r="P220" i="3"/>
  <c r="Q220" i="3" s="1"/>
  <c r="P233" i="3"/>
  <c r="Q233" i="3" s="1"/>
  <c r="P10" i="3"/>
  <c r="Q10" i="3" s="1"/>
  <c r="P226" i="3"/>
  <c r="Q226" i="3" s="1"/>
  <c r="P112" i="3"/>
  <c r="Q112" i="3" s="1"/>
  <c r="P189" i="3"/>
  <c r="Q189" i="3" s="1"/>
  <c r="P195" i="3"/>
  <c r="Q195" i="3" s="1"/>
  <c r="P204" i="3"/>
  <c r="Q204" i="3" s="1"/>
  <c r="P178" i="3"/>
  <c r="Q178" i="3" s="1"/>
  <c r="P64" i="3"/>
  <c r="Q64" i="3" s="1"/>
  <c r="P52" i="3"/>
  <c r="Q52" i="3" s="1"/>
  <c r="P152" i="3"/>
  <c r="Q152" i="3" s="1"/>
  <c r="P185" i="3"/>
  <c r="Q185" i="3" s="1"/>
  <c r="P194" i="3"/>
  <c r="Q194" i="3" s="1"/>
  <c r="P202" i="3"/>
  <c r="Q202" i="3" s="1"/>
  <c r="P177" i="3"/>
  <c r="Q177" i="3" s="1"/>
  <c r="P63" i="3"/>
  <c r="Q63" i="3" s="1"/>
  <c r="P48" i="3"/>
  <c r="Q48" i="3" s="1"/>
  <c r="P150" i="3"/>
  <c r="Q150" i="3" s="1"/>
  <c r="P183" i="3"/>
  <c r="Q183" i="3" s="1"/>
  <c r="P193" i="3"/>
  <c r="Q193" i="3" s="1"/>
  <c r="P200" i="3"/>
  <c r="Q200" i="3" s="1"/>
  <c r="P175" i="3"/>
  <c r="Q175" i="3" s="1"/>
  <c r="P62" i="3"/>
  <c r="Q62" i="3" s="1"/>
  <c r="P68" i="3"/>
  <c r="Q68" i="3" s="1"/>
  <c r="P234" i="3"/>
  <c r="Q234" i="3" s="1"/>
  <c r="P181" i="3"/>
  <c r="Q181" i="3" s="1"/>
  <c r="P192" i="3"/>
  <c r="Q192" i="3" s="1"/>
  <c r="P198" i="3"/>
  <c r="Q198" i="3" s="1"/>
  <c r="P173" i="3"/>
  <c r="Q173" i="3" s="1"/>
  <c r="P61" i="3"/>
  <c r="Q61" i="3" s="1"/>
  <c r="P67" i="3"/>
  <c r="Q67" i="3" s="1"/>
  <c r="P148" i="3"/>
  <c r="Q148" i="3" s="1"/>
  <c r="P56" i="8"/>
  <c r="Q56" i="8" s="1"/>
  <c r="P12" i="8"/>
  <c r="Q12" i="8" s="1"/>
  <c r="P67" i="8"/>
  <c r="Q67" i="8" s="1"/>
  <c r="P45" i="8"/>
  <c r="Q45" i="8" s="1"/>
  <c r="P54" i="8"/>
  <c r="Q54" i="8" s="1"/>
  <c r="P10" i="8"/>
  <c r="Q10" i="8" s="1"/>
  <c r="P65" i="8"/>
  <c r="Q65" i="8" s="1"/>
  <c r="P43" i="8"/>
  <c r="Q43" i="8" s="1"/>
  <c r="P52" i="8"/>
  <c r="Q52" i="8" s="1"/>
  <c r="P8" i="8"/>
  <c r="Q8" i="8" s="1"/>
  <c r="P63" i="8"/>
  <c r="Q63" i="8" s="1"/>
  <c r="P41" i="8"/>
  <c r="Q41" i="8" s="1"/>
  <c r="P50" i="8"/>
  <c r="Q50" i="8" s="1"/>
  <c r="P6" i="8"/>
  <c r="Q6" i="8" s="1"/>
  <c r="P61" i="8"/>
  <c r="Q61" i="8" s="1"/>
  <c r="P39" i="8"/>
  <c r="Q39" i="8" s="1"/>
  <c r="P55" i="8"/>
  <c r="Q55" i="8" s="1"/>
  <c r="P11" i="8"/>
  <c r="Q11" i="8" s="1"/>
  <c r="P66" i="8"/>
  <c r="Q66" i="8" s="1"/>
  <c r="P44" i="8"/>
  <c r="Q44" i="8" s="1"/>
  <c r="P53" i="8"/>
  <c r="Q53" i="8" s="1"/>
  <c r="P9" i="8"/>
  <c r="Q9" i="8" s="1"/>
  <c r="P64" i="8"/>
  <c r="Q64" i="8" s="1"/>
  <c r="P42" i="8"/>
  <c r="Q42" i="8" s="1"/>
  <c r="P51" i="8"/>
  <c r="Q51" i="8" s="1"/>
  <c r="P7" i="8"/>
  <c r="Q7" i="8" s="1"/>
  <c r="P62" i="8"/>
  <c r="Q62" i="8" s="1"/>
  <c r="P40" i="8"/>
  <c r="Q40" i="8" s="1"/>
  <c r="P49" i="8"/>
  <c r="Q49" i="8" s="1"/>
  <c r="P5" i="8"/>
  <c r="Q5" i="8" s="1"/>
  <c r="P60" i="8"/>
  <c r="Q60" i="8" s="1"/>
  <c r="P38" i="8"/>
  <c r="Q38" i="8" s="1"/>
  <c r="P31" i="9"/>
  <c r="Q31" i="9" s="1"/>
  <c r="P27" i="9"/>
  <c r="Q27" i="9" s="1"/>
  <c r="P32" i="9"/>
  <c r="Q32" i="9" s="1"/>
  <c r="P21" i="9"/>
  <c r="Q21" i="9" s="1"/>
  <c r="P25" i="9"/>
  <c r="Q25" i="9" s="1"/>
  <c r="P5" i="9"/>
  <c r="Q5" i="9" s="1"/>
  <c r="P23" i="9"/>
  <c r="Q23" i="9" s="1"/>
  <c r="P44" i="9"/>
  <c r="Q44" i="9" s="1"/>
  <c r="P36" i="9"/>
  <c r="Q36" i="9" s="1"/>
  <c r="P45" i="9"/>
  <c r="Q45" i="9" s="1"/>
  <c r="P46" i="9"/>
  <c r="Q46" i="9" s="1"/>
  <c r="P35" i="9"/>
  <c r="Q35" i="9" s="1"/>
  <c r="P34" i="9"/>
  <c r="Q34" i="9" s="1"/>
  <c r="P47" i="9"/>
  <c r="Q47" i="9" s="1"/>
  <c r="P57" i="9"/>
  <c r="Q57" i="9" s="1"/>
  <c r="P49" i="9"/>
  <c r="Q49" i="9" s="1"/>
  <c r="P58" i="9"/>
  <c r="Q58" i="9" s="1"/>
  <c r="P59" i="9"/>
  <c r="Q59" i="9" s="1"/>
  <c r="P48" i="9"/>
  <c r="Q48" i="9" s="1"/>
  <c r="P60" i="9"/>
  <c r="Q60" i="9" s="1"/>
  <c r="P71" i="9"/>
  <c r="Q71" i="9" s="1"/>
  <c r="P66" i="9"/>
  <c r="Q66" i="9" s="1"/>
  <c r="P68" i="9"/>
  <c r="Q68" i="9" s="1"/>
  <c r="P70" i="9"/>
  <c r="Q70" i="9" s="1"/>
  <c r="P61" i="9"/>
  <c r="Q61" i="9" s="1"/>
  <c r="P54" i="9"/>
  <c r="Q54" i="9" s="1"/>
  <c r="P18" i="9"/>
  <c r="Q18" i="9" s="1"/>
  <c r="P69" i="9"/>
  <c r="Q69" i="9" s="1"/>
  <c r="P82" i="9"/>
  <c r="Q82" i="9" s="1"/>
  <c r="P28" i="9"/>
  <c r="Q28" i="9" s="1"/>
  <c r="P42" i="9"/>
  <c r="Q42" i="9" s="1"/>
  <c r="P53" i="9"/>
  <c r="Q53" i="9" s="1"/>
  <c r="P17" i="9"/>
  <c r="Q17" i="9" s="1"/>
  <c r="P67" i="9"/>
  <c r="Q67" i="9" s="1"/>
  <c r="P78" i="9"/>
  <c r="Q78" i="9" s="1"/>
  <c r="P26" i="9"/>
  <c r="Q26" i="9" s="1"/>
  <c r="P10" i="9"/>
  <c r="Q10" i="9" s="1"/>
  <c r="P8" i="9"/>
  <c r="Q8" i="9" s="1"/>
  <c r="P52" i="9"/>
  <c r="Q52" i="9" s="1"/>
  <c r="P16" i="9"/>
  <c r="Q16" i="9" s="1"/>
  <c r="P65" i="9"/>
  <c r="Q65" i="9" s="1"/>
  <c r="P76" i="9"/>
  <c r="Q76" i="9" s="1"/>
  <c r="P24" i="9"/>
  <c r="Q24" i="9" s="1"/>
  <c r="P6" i="9"/>
  <c r="Q6" i="9" s="1"/>
  <c r="P4" i="9"/>
  <c r="P51" i="9"/>
  <c r="Q51" i="9" s="1"/>
  <c r="P15" i="9"/>
  <c r="Q15" i="9" s="1"/>
  <c r="P63" i="9"/>
  <c r="Q63" i="9" s="1"/>
  <c r="P74" i="9"/>
  <c r="Q74" i="9" s="1"/>
  <c r="P22" i="9"/>
  <c r="Q22" i="9" s="1"/>
  <c r="P48" i="8"/>
  <c r="Q48" i="8" s="1"/>
  <c r="P4" i="8"/>
  <c r="Q4" i="8" s="1"/>
  <c r="P59" i="8"/>
  <c r="Q59" i="8" s="1"/>
  <c r="P37" i="8"/>
  <c r="Q37" i="8" s="1"/>
  <c r="P120" i="3"/>
  <c r="Q120" i="3" s="1"/>
  <c r="P121" i="3"/>
  <c r="Q121" i="3" s="1"/>
  <c r="P141" i="3"/>
  <c r="Q141" i="3" s="1"/>
  <c r="P110" i="3"/>
  <c r="Q110" i="3" s="1"/>
  <c r="P122" i="3"/>
  <c r="Q122" i="3" s="1"/>
  <c r="P138" i="3"/>
  <c r="Q138" i="3" s="1"/>
  <c r="P109" i="3"/>
  <c r="Q109" i="3" s="1"/>
  <c r="P119" i="3"/>
  <c r="Q119" i="3" s="1"/>
  <c r="P144" i="3"/>
  <c r="Q144" i="3" s="1"/>
  <c r="P108" i="3"/>
  <c r="Q108" i="3" s="1"/>
  <c r="P118" i="3"/>
  <c r="Q118" i="3" s="1"/>
  <c r="P140" i="3"/>
  <c r="Q140" i="3" s="1"/>
  <c r="P107" i="3"/>
  <c r="Q107" i="3" s="1"/>
  <c r="P111" i="3"/>
  <c r="Q111" i="3" s="1"/>
  <c r="P136" i="3"/>
  <c r="Q136" i="3" s="1"/>
  <c r="B25" i="7"/>
  <c r="B21" i="7"/>
  <c r="B16" i="7"/>
  <c r="B13" i="7"/>
  <c r="B17" i="7" s="1"/>
  <c r="B7" i="7"/>
  <c r="E31" i="4"/>
  <c r="E19" i="4"/>
  <c r="E7" i="4"/>
  <c r="Q4" i="3" l="1"/>
  <c r="C10" i="5"/>
  <c r="C6" i="5"/>
  <c r="Q4" i="9"/>
  <c r="C7" i="5"/>
  <c r="C8" i="5"/>
  <c r="E8" i="5"/>
  <c r="F8" i="5"/>
  <c r="D8" i="5"/>
  <c r="D9" i="5"/>
  <c r="B14" i="7"/>
  <c r="F7" i="5" l="1"/>
  <c r="E7" i="5"/>
  <c r="D7" i="5"/>
  <c r="E6" i="5"/>
  <c r="E10" i="5" s="1"/>
  <c r="D6" i="5"/>
  <c r="D10" i="5" s="1"/>
  <c r="F6" i="5"/>
  <c r="F10" i="5" s="1"/>
  <c r="E9" i="5"/>
  <c r="F9" i="5"/>
  <c r="E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H3" authorId="0" shapeId="0" xr:uid="{00000000-0006-0000-0100-000001000000}">
      <text>
        <r>
          <rPr>
            <sz val="11"/>
            <color theme="1"/>
            <rFont val="Calibri"/>
            <family val="2"/>
          </rPr>
          <t>2024 Sustainability Report p.125 and EY schedule p.169: WestRock Scope 1 direct emissions = 5,674 ktonnes CO2e
https://www.smurfitkappa.com/-/m/files/publications---global/sr-2024-downloads/smurfit_westrock_sustainability_report_2024.pdf?rev=8fa6453fc2294a2a894c5bedcc52de80</t>
        </r>
      </text>
    </comment>
    <comment ref="H4" authorId="0" shapeId="0" xr:uid="{00000000-0006-0000-0100-000002000000}">
      <text>
        <r>
          <rPr>
            <sz val="11"/>
            <color theme="1"/>
            <rFont val="Calibri"/>
            <family val="2"/>
          </rPr>
          <t>2024 Sustainability Report p.125 and EY schedule p.169: WestRock Scope 2 market-based = 2,300 ktonnes CO2e
https://www.smurfitkappa.com/-/m/files/publications---global/sr-2024-downloads/smurfit_westrock_sustainability_report_2024.pdf?rev=8fa6453fc2294a2a894c5bedcc52de80</t>
        </r>
      </text>
    </comment>
    <comment ref="H5" authorId="0" shapeId="0" xr:uid="{00000000-0006-0000-0100-000003000000}">
      <text>
        <r>
          <rPr>
            <sz val="11"/>
            <color theme="1"/>
            <rFont val="Calibri"/>
            <family val="2"/>
          </rPr>
          <t>2024 Sustainability Report p.125: WestRock Scope 2 location-based = 1,746 ktonnes CO2e
https://www.smurfitkappa.com/-/m/files/publications---global/sr-2024-downloads/smurfit_westrock_sustainability_report_2024.pdf?rev=8fa6453fc2294a2a894c5bedcc52de80</t>
        </r>
      </text>
    </comment>
    <comment ref="H6" authorId="0" shapeId="0" xr:uid="{00000000-0006-0000-0100-000004000000}">
      <text>
        <r>
          <rPr>
            <sz val="11"/>
            <color theme="1"/>
            <rFont val="Calibri"/>
            <family val="2"/>
          </rPr>
          <t>2024 Sustainability Report p.125 and EY schedule p.171: WestRock Scope 3 relevant categories = 9,452 ktonnes CO2e
https://www.smurfitkappa.com/-/m/files/publications---global/sr-2024-downloads/smurfit_westrock_sustainability_report_2024.pdf?rev=8fa6453fc2294a2a894c5bedcc52de80</t>
        </r>
      </text>
    </comment>
    <comment ref="H7" authorId="0" shapeId="0" xr:uid="{00000000-0006-0000-0100-000005000000}">
      <text>
        <r>
          <rPr>
            <sz val="11"/>
            <color theme="1"/>
            <rFont val="Calibri"/>
            <family val="2"/>
          </rPr>
          <t>No directly disclosed carbon intensity per $M revenue in the 2024 Sustainability Report
https://www.smurfitkappa.com/-/m/files/publications---global/sr-2024-downloads/smurfit_westrock_sustainability_report_2024.pdf?rev=8fa6453fc2294a2a894c5bedcc52de80</t>
        </r>
      </text>
    </comment>
    <comment ref="H8" authorId="0" shapeId="0" xr:uid="{00000000-0006-0000-0100-000006000000}">
      <text>
        <r>
          <rPr>
            <sz val="11"/>
            <color theme="1"/>
            <rFont val="Calibri"/>
            <family val="2"/>
          </rPr>
          <t>2024 Sustainability Report p.125: WestRock total energy used = 284,911,157 MMBtu; converted to GWh for this template
https://www.smurfitkappa.com/-/m/files/publications---global/sr-2024-downloads/smurfit_westrock_sustainability_report_2024.pdf?rev=8fa6453fc2294a2a894c5bedcc52de80</t>
        </r>
      </text>
    </comment>
    <comment ref="H9" authorId="0" shapeId="0" xr:uid="{00000000-0006-0000-0100-000007000000}">
      <text>
        <r>
          <rPr>
            <sz val="11"/>
            <color theme="1"/>
            <rFont val="Calibri"/>
            <family val="2"/>
          </rPr>
          <t>2024 Sustainability Report p.125: WestRock energy mix = 60% renewable
https://www.smurfitkappa.com/-/m/files/publications---global/sr-2024-downloads/smurfit_westrock_sustainability_report_2024.pdf?rev=8fa6453fc2294a2a894c5bedcc52de80</t>
        </r>
      </text>
    </comment>
    <comment ref="H10" authorId="0" shapeId="0" xr:uid="{00000000-0006-0000-0100-000008000000}">
      <text>
        <r>
          <rPr>
            <sz val="11"/>
            <color theme="1"/>
            <rFont val="Calibri"/>
            <family val="2"/>
          </rPr>
          <t>2024 Sustainability Report p.125 and EY schedule p.175: purchased fuel energy efficiency = 12.62 MMBtu/ton; used as proxy
https://www.smurfitkappa.com/-/m/files/publications---global/sr-2024-downloads/smurfit_westrock_sustainability_report_2024.pdf?rev=8fa6453fc2294a2a894c5bedcc52de80</t>
        </r>
      </text>
    </comment>
    <comment ref="H11" authorId="0" shapeId="0" xr:uid="{00000000-0006-0000-0100-000009000000}">
      <text>
        <r>
          <rPr>
            <sz val="11"/>
            <color theme="1"/>
            <rFont val="Calibri"/>
            <family val="2"/>
          </rPr>
          <t>2024 Sustainability Report p.127: WestRock mill water withdrawal = 470,201 megalitres
https://www.smurfitkappa.com/-/m/files/publications---global/sr-2024-downloads/smurfit_westrock_sustainability_report_2024.pdf?rev=8fa6453fc2294a2a894c5bedcc52de80</t>
        </r>
      </text>
    </comment>
    <comment ref="H12" authorId="0" shapeId="0" xr:uid="{00000000-0006-0000-0100-00000A000000}">
      <text>
        <r>
          <rPr>
            <sz val="11"/>
            <color theme="1"/>
            <rFont val="Calibri"/>
            <family val="2"/>
          </rPr>
          <t>No quantitative recycled / reused water percentage disclosed in the 2024 Sustainability Report
https://www.smurfitkappa.com/-/m/files/publications---global/sr-2024-downloads/smurfit_westrock_sustainability_report_2024.pdf?rev=8fa6453fc2294a2a894c5bedcc52de80</t>
        </r>
      </text>
    </comment>
    <comment ref="H13" authorId="0" shapeId="0" xr:uid="{00000000-0006-0000-0100-00000B000000}">
      <text>
        <r>
          <rPr>
            <sz val="11"/>
            <color theme="1"/>
            <rFont val="Calibri"/>
            <family val="2"/>
          </rPr>
          <t>2024 Sustainability Report p.127: WestRock mill waste streams converted from short tons to metric tonnes
https://www.smurfitkappa.com/-/m/files/publications---global/sr-2024-downloads/smurfit_westrock_sustainability_report_2024.pdf?rev=8fa6453fc2294a2a894c5bedcc52de80</t>
        </r>
      </text>
    </comment>
    <comment ref="H14" authorId="0" shapeId="0" xr:uid="{00000000-0006-0000-0100-00000C000000}">
      <text>
        <r>
          <rPr>
            <sz val="11"/>
            <color theme="1"/>
            <rFont val="Calibri"/>
            <family val="2"/>
          </rPr>
          <t>Calculated from 2024 Sustainability Report p.127 WestRock mill waste streams
https://www.smurfitkappa.com/-/m/files/publications---global/sr-2024-downloads/smurfit_westrock_sustainability_report_2024.pdf?rev=8fa6453fc2294a2a894c5bedcc52de80</t>
        </r>
      </text>
    </comment>
    <comment ref="H15" authorId="0" shapeId="0" xr:uid="{00000000-0006-0000-0100-00000D000000}">
      <text>
        <r>
          <rPr>
            <sz val="11"/>
            <color theme="1"/>
            <rFont val="Calibri"/>
            <family val="2"/>
          </rPr>
          <t>2024 Sustainability Report p.59 / p.119: Smurfit Kappa hazardous waste = 13,369 tonnes
https://www.smurfitkappa.com/-/m/files/publications---global/sr-2024-downloads/smurfit_westrock_sustainability_report_2024.pdf?rev=8fa6453fc2294a2a894c5bedcc52de80</t>
        </r>
      </text>
    </comment>
    <comment ref="H39" authorId="0" shapeId="0" xr:uid="{00000000-0006-0000-0100-00000E000000}">
      <text>
        <r>
          <rPr>
            <sz val="11"/>
            <color theme="1"/>
            <rFont val="Calibri"/>
            <family val="2"/>
          </rPr>
          <t>2024 Annual Report p.56: net sales = $21,109 million
https://www.smurfitwestrock.com/-/m/files/publications---global/financial-reports/sw-2024-annual-report.pdf?rev=4870ca9e316e43588dd14c35c5247fa3</t>
        </r>
      </text>
    </comment>
    <comment ref="H40" authorId="0" shapeId="0" xr:uid="{00000000-0006-0000-0100-00000F000000}">
      <text>
        <r>
          <rPr>
            <sz val="11"/>
            <color theme="1"/>
            <rFont val="Calibri"/>
            <family val="2"/>
          </rPr>
          <t>Calculated from 2024 Annual Report p.56 net sales and p.67 Adjusted EBITDA
https://www.smurfitwestrock.com/-/m/files/publications---global/financial-reports/sw-2024-annual-report.pdf?rev=4870ca9e316e43588dd14c35c5247fa3</t>
        </r>
      </text>
    </comment>
    <comment ref="H41" authorId="0" shapeId="0" xr:uid="{00000000-0006-0000-0100-000010000000}">
      <text>
        <r>
          <rPr>
            <sz val="11"/>
            <color theme="1"/>
            <rFont val="Calibri"/>
            <family val="2"/>
          </rPr>
          <t>2024 Annual Report p.80: capital expenditures = $1,466 million
https://www.smurfitwestrock.com/-/m/files/publications---global/financial-reports/sw-2024-annual-report.pdf?rev=4870ca9e316e43588dd14c35c5247fa3</t>
        </r>
      </text>
    </comment>
    <comment ref="H42" authorId="0" shapeId="0" xr:uid="{00000000-0006-0000-0100-000011000000}">
      <text>
        <r>
          <rPr>
            <sz val="11"/>
            <color theme="1"/>
            <rFont val="Calibri"/>
            <family val="2"/>
          </rPr>
          <t>Calculated from 2024 Annual Report p.77 shares outstanding and 12/31/2024 closing price
https://www.smurfitwestrock.com/-/m/files/publications---global/financial-reports/sw-2024-annual-report.pdf?rev=4870ca9e316e43588dd14c35c5247fa3</t>
        </r>
      </text>
    </comment>
    <comment ref="H43" authorId="0" shapeId="0" xr:uid="{00000000-0006-0000-0100-000012000000}">
      <text>
        <r>
          <rPr>
            <sz val="11"/>
            <color theme="1"/>
            <rFont val="Calibri"/>
            <family val="2"/>
          </rPr>
          <t>No separate R&amp;D expenditure line disclosed in the 2024 Annual Report
https://www.smurfitwestrock.com/-/m/files/publications---global/financial-reports/sw-2024-annual-report.pdf?rev=4870ca9e316e43588dd14c35c5247fa3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2" authorId="0" shapeId="0" xr:uid="{00000000-0006-0000-0600-000001000000}">
      <text>
        <r>
          <rPr>
            <sz val="11"/>
            <color theme="1"/>
            <rFont val="Calibri"/>
            <family val="2"/>
          </rPr>
          <t>2024 Sustainability Report p.125 and EY schedule p.169. WestRock only. https://www.smurfitkappa.com/-/m/files/publications---global/sr-2024-downloads/smurfit_westrock_sustainability_report_2024.pdf?rev=8fa6453fc2294a2a894c5bedcc52de80</t>
        </r>
      </text>
    </comment>
    <comment ref="B3" authorId="0" shapeId="0" xr:uid="{00000000-0006-0000-0600-000002000000}">
      <text>
        <r>
          <rPr>
            <sz val="11"/>
            <color theme="1"/>
            <rFont val="Calibri"/>
            <family val="2"/>
          </rPr>
          <t>2024 Sustainability Report p.125 and EY schedule p.169. WestRock only. https://www.smurfitkappa.com/-/m/files/publications---global/sr-2024-downloads/smurfit_westrock_sustainability_report_2024.pdf?rev=8fa6453fc2294a2a894c5bedcc52de80</t>
        </r>
      </text>
    </comment>
    <comment ref="B4" authorId="0" shapeId="0" xr:uid="{00000000-0006-0000-0600-000003000000}">
      <text>
        <r>
          <rPr>
            <sz val="11"/>
            <color theme="1"/>
            <rFont val="Calibri"/>
            <family val="2"/>
          </rPr>
          <t>2024 Sustainability Report p.125. WestRock only. https://www.smurfitkappa.com/-/m/files/publications---global/sr-2024-downloads/smurfit_westrock_sustainability_report_2024.pdf?rev=8fa6453fc2294a2a894c5bedcc52de80</t>
        </r>
      </text>
    </comment>
    <comment ref="B5" authorId="0" shapeId="0" xr:uid="{00000000-0006-0000-0600-000004000000}">
      <text>
        <r>
          <rPr>
            <sz val="11"/>
            <color theme="1"/>
            <rFont val="Calibri"/>
            <family val="2"/>
          </rPr>
          <t>2024 Sustainability Report p.125 and EY schedule p.171. WestRock relevant categories only. https://www.smurfitkappa.com/-/m/files/publications---global/sr-2024-downloads/smurfit_westrock_sustainability_report_2024.pdf?rev=8fa6453fc2294a2a894c5bedcc52de80</t>
        </r>
      </text>
    </comment>
    <comment ref="B6" authorId="0" shapeId="0" xr:uid="{00000000-0006-0000-0600-000005000000}">
      <text>
        <r>
          <rPr>
            <sz val="11"/>
            <color theme="1"/>
            <rFont val="Calibri"/>
            <family val="2"/>
          </rPr>
          <t>2024 Sustainability Report p.125. https://www.smurfitkappa.com/-/m/files/publications---global/sr-2024-downloads/smurfit_westrock_sustainability_report_2024.pdf?rev=8fa6453fc2294a2a894c5bedcc52de80</t>
        </r>
      </text>
    </comment>
    <comment ref="B7" authorId="0" shapeId="0" xr:uid="{00000000-0006-0000-0600-000006000000}">
      <text>
        <r>
          <rPr>
            <sz val="11"/>
            <color theme="1"/>
            <rFont val="Calibri"/>
            <family val="2"/>
          </rPr>
          <t>Converted from MMBtu to GWh for the template using 1 MMBtu = 0.00029307107 GWh.</t>
        </r>
      </text>
    </comment>
    <comment ref="B8" authorId="0" shapeId="0" xr:uid="{00000000-0006-0000-0600-000007000000}">
      <text>
        <r>
          <rPr>
            <sz val="11"/>
            <color theme="1"/>
            <rFont val="Calibri"/>
            <family val="2"/>
          </rPr>
          <t>2024 Sustainability Report p.125 energy mix = 60% renewable. https://www.smurfitkappa.com/-/m/files/publications---global/sr-2024-downloads/smurfit_westrock_sustainability_report_2024.pdf?rev=8fa6453fc2294a2a894c5bedcc52de80</t>
        </r>
      </text>
    </comment>
    <comment ref="B9" authorId="0" shapeId="0" xr:uid="{00000000-0006-0000-0600-000008000000}">
      <text>
        <r>
          <rPr>
            <sz val="11"/>
            <color theme="1"/>
            <rFont val="Calibri"/>
            <family val="2"/>
          </rPr>
          <t>2024 Sustainability Report p.127. WestRock mills only. https://www.smurfitkappa.com/-/m/files/publications---global/sr-2024-downloads/smurfit_westrock_sustainability_report_2024.pdf?rev=8fa6453fc2294a2a894c5bedcc52de80</t>
        </r>
      </text>
    </comment>
    <comment ref="B10" authorId="0" shapeId="0" xr:uid="{00000000-0006-0000-0600-000009000000}">
      <text>
        <r>
          <rPr>
            <sz val="11"/>
            <color theme="1"/>
            <rFont val="Calibri"/>
            <family val="2"/>
          </rPr>
          <t>2024 Sustainability Report p.127. https://www.smurfitkappa.com/-/m/files/publications---global/sr-2024-downloads/smurfit_westrock_sustainability_report_2024.pdf?rev=8fa6453fc2294a2a894c5bedcc52de80</t>
        </r>
      </text>
    </comment>
    <comment ref="B11" authorId="0" shapeId="0" xr:uid="{00000000-0006-0000-0600-00000A000000}">
      <text>
        <r>
          <rPr>
            <sz val="11"/>
            <color theme="1"/>
            <rFont val="Calibri"/>
            <family val="2"/>
          </rPr>
          <t>2024 Sustainability Report p.127. https://www.smurfitkappa.com/-/m/files/publications---global/sr-2024-downloads/smurfit_westrock_sustainability_report_2024.pdf?rev=8fa6453fc2294a2a894c5bedcc52de80</t>
        </r>
      </text>
    </comment>
    <comment ref="B12" authorId="0" shapeId="0" xr:uid="{00000000-0006-0000-0600-00000B000000}">
      <text>
        <r>
          <rPr>
            <sz val="11"/>
            <color theme="1"/>
            <rFont val="Calibri"/>
            <family val="2"/>
          </rPr>
          <t>2024 Sustainability Report p.127. https://www.smurfitkappa.com/-/m/files/publications---global/sr-2024-downloads/smurfit_westrock_sustainability_report_2024.pdf?rev=8fa6453fc2294a2a894c5bedcc52de80</t>
        </r>
      </text>
    </comment>
    <comment ref="B13" authorId="0" shapeId="0" xr:uid="{00000000-0006-0000-0600-00000C000000}">
      <text>
        <r>
          <rPr>
            <sz val="11"/>
            <color theme="1"/>
            <rFont val="Calibri"/>
            <family val="2"/>
          </rPr>
          <t>Sum of landfill, waste-to-energy and beneficial-use streams.</t>
        </r>
      </text>
    </comment>
    <comment ref="B14" authorId="0" shapeId="0" xr:uid="{00000000-0006-0000-0600-00000D000000}">
      <text>
        <r>
          <rPr>
            <sz val="11"/>
            <color theme="1"/>
            <rFont val="Calibri"/>
            <family val="2"/>
          </rPr>
          <t>Converted from U.S. short tons to metric tonnes using 0.90718474.</t>
        </r>
      </text>
    </comment>
    <comment ref="B15" authorId="0" shapeId="0" xr:uid="{00000000-0006-0000-0600-00000E000000}">
      <text>
        <r>
          <rPr>
            <sz val="11"/>
            <color theme="1"/>
            <rFont val="Calibri"/>
            <family val="2"/>
          </rPr>
          <t>2024 Sustainability Report p.125 and EY schedule p.175. Proxy metric only. https://www.smurfitkappa.com/-/m/files/publications---global/sr-2024-downloads/smurfit_westrock_sustainability_report_2024.pdf?rev=8fa6453fc2294a2a894c5bedcc52de80</t>
        </r>
      </text>
    </comment>
    <comment ref="B16" authorId="0" shapeId="0" xr:uid="{00000000-0006-0000-0600-00000F000000}">
      <text>
        <r>
          <rPr>
            <sz val="11"/>
            <color theme="1"/>
            <rFont val="Calibri"/>
            <family val="2"/>
          </rPr>
          <t>Converted from MMBtu/ton to GJ/ton using 1 MMBtu = 1.05505585262 GJ.</t>
        </r>
      </text>
    </comment>
    <comment ref="B17" authorId="0" shapeId="0" xr:uid="{00000000-0006-0000-0600-000010000000}">
      <text>
        <r>
          <rPr>
            <sz val="11"/>
            <color theme="1"/>
            <rFont val="Calibri"/>
            <family val="2"/>
          </rPr>
          <t>Calculated as (waste-to-energy + beneficial use) / total waste * 100.</t>
        </r>
      </text>
    </comment>
    <comment ref="B18" authorId="0" shapeId="0" xr:uid="{00000000-0006-0000-0600-000011000000}">
      <text>
        <r>
          <rPr>
            <sz val="11"/>
            <color theme="1"/>
            <rFont val="Calibri"/>
            <family val="2"/>
          </rPr>
          <t>2024 Sustainability Report p.59 / supporting data p.119. Smurfit Kappa only. https://www.smurfitkappa.com/-/m/files/publications---global/sr-2024-downloads/smurfit_westrock_sustainability_report_2024.pdf?rev=8fa6453fc2294a2a894c5bedcc52de80</t>
        </r>
      </text>
    </comment>
    <comment ref="B19" authorId="0" shapeId="0" xr:uid="{00000000-0006-0000-0600-000012000000}">
      <text>
        <r>
          <rPr>
            <sz val="11"/>
            <color theme="1"/>
            <rFont val="Calibri"/>
            <family val="2"/>
          </rPr>
          <t>2024 Annual Report p.56 net sales. https://www.smurfitwestrock.com/-/m/files/publications---global/financial-reports/sw-2024-annual-report.pdf?rev=4870ca9e316e43588dd14c35c5247fa3</t>
        </r>
      </text>
    </comment>
    <comment ref="B20" authorId="0" shapeId="0" xr:uid="{00000000-0006-0000-0600-000013000000}">
      <text>
        <r>
          <rPr>
            <sz val="11"/>
            <color theme="1"/>
            <rFont val="Calibri"/>
            <family val="2"/>
          </rPr>
          <t>2024 Annual Report p.67 Adjusted EBITDA reconciliation. https://www.smurfitwestrock.com/-/m/files/publications---global/financial-reports/sw-2024-annual-report.pdf?rev=4870ca9e316e43588dd14c35c5247fa3</t>
        </r>
      </text>
    </comment>
    <comment ref="B21" authorId="0" shapeId="0" xr:uid="{00000000-0006-0000-0600-000014000000}">
      <text>
        <r>
          <rPr>
            <sz val="11"/>
            <color theme="1"/>
            <rFont val="Calibri"/>
            <family val="2"/>
          </rPr>
          <t>Calculated as Adjusted EBITDA / net sales * 100.</t>
        </r>
      </text>
    </comment>
    <comment ref="B22" authorId="0" shapeId="0" xr:uid="{00000000-0006-0000-0600-000015000000}">
      <text>
        <r>
          <rPr>
            <sz val="11"/>
            <color theme="1"/>
            <rFont val="Calibri"/>
            <family val="2"/>
          </rPr>
          <t>2024 Annual Report p.80 capital expenditures. https://www.smurfitwestrock.com/-/m/files/publications---global/financial-reports/sw-2024-annual-report.pdf?rev=4870ca9e316e43588dd14c35c5247fa3</t>
        </r>
      </text>
    </comment>
    <comment ref="B23" authorId="0" shapeId="0" xr:uid="{00000000-0006-0000-0600-000016000000}">
      <text>
        <r>
          <rPr>
            <sz val="11"/>
            <color theme="1"/>
            <rFont val="Calibri"/>
            <family val="2"/>
          </rPr>
          <t>2024 Annual Report p.77 shares outstanding. https://www.smurfitwestrock.com/-/m/files/publications---global/financial-reports/sw-2024-annual-report.pdf?rev=4870ca9e316e43588dd14c35c5247fa3</t>
        </r>
      </text>
    </comment>
    <comment ref="B24" authorId="0" shapeId="0" xr:uid="{00000000-0006-0000-0600-000017000000}">
      <text>
        <r>
          <rPr>
            <sz val="11"/>
            <color theme="1"/>
            <rFont val="Calibri"/>
            <family val="2"/>
          </rPr>
          <t>Historical closing price for SW on 2024-12-31. https://www.macrotrends.net/stocks/charts/SW/smurfit-westrock/stock-price-history</t>
        </r>
      </text>
    </comment>
    <comment ref="B25" authorId="0" shapeId="0" xr:uid="{00000000-0006-0000-0600-000018000000}">
      <text>
        <r>
          <rPr>
            <sz val="11"/>
            <color theme="1"/>
            <rFont val="Calibri"/>
            <family val="2"/>
          </rPr>
          <t>Calculated as shares outstanding * year-end closing share price / 1,000,000.</t>
        </r>
      </text>
    </comment>
  </commentList>
</comments>
</file>

<file path=xl/sharedStrings.xml><?xml version="1.0" encoding="utf-8"?>
<sst xmlns="http://schemas.openxmlformats.org/spreadsheetml/2006/main" count="5373" uniqueCount="584">
  <si>
    <t>LAB 1 — ESG Data Quality Assessment Workbook</t>
  </si>
  <si>
    <t>WORKBOOK CONTENTS</t>
  </si>
  <si>
    <t>Sheet</t>
  </si>
  <si>
    <t>Purpose</t>
  </si>
  <si>
    <t>Data Inventory</t>
  </si>
  <si>
    <t>Core data entry: 30+ ESG KPIs with quality scoring (your main deliverable)</t>
  </si>
  <si>
    <t>KPI Checklist</t>
  </si>
  <si>
    <t>Track which ESG KPIs are available/missing by pillar</t>
  </si>
  <si>
    <t>Cross-Source Compare</t>
  </si>
  <si>
    <t>Compare the same 3 KPIs across 3 different sources and compute variance</t>
  </si>
  <si>
    <t>Summary Dashboard</t>
  </si>
  <si>
    <t>Auto-calculated summary metrics, heatmap, and quality overview</t>
  </si>
  <si>
    <t>Rubric</t>
  </si>
  <si>
    <t>Emission factors, quality scoring rubric, and framework reference</t>
  </si>
  <si>
    <t>HOW TO START</t>
  </si>
  <si>
    <t>Step 1</t>
  </si>
  <si>
    <t>Start with  KPI Checklist — mark which data points you can find for your company</t>
  </si>
  <si>
    <t>Step 2</t>
  </si>
  <si>
    <t>Enter data in Data Inventory. Formulas calculate quality scores automatically.</t>
  </si>
  <si>
    <t>Step 3</t>
  </si>
  <si>
    <t>Complete the Cross-Source Compare sheet for 3 KPIs (one E, one S, one G)</t>
  </si>
  <si>
    <t>Step 4</t>
  </si>
  <si>
    <t>Summary Dashboard — it updates automatically from your data</t>
  </si>
  <si>
    <t>Step 5</t>
  </si>
  <si>
    <t>Write your 150-word data gap analysis in the text box on the Summary sheet</t>
  </si>
  <si>
    <t>COLOR CODING IN THIS WORKBOOK</t>
  </si>
  <si>
    <t>Blue text</t>
  </si>
  <si>
    <t>Hardcoded inputs — cells YOU should fill in</t>
  </si>
  <si>
    <t>Black text</t>
  </si>
  <si>
    <t>Formulas — do not edit these</t>
  </si>
  <si>
    <t>Green text</t>
  </si>
  <si>
    <t>Cross-sheet references — do not edit these</t>
  </si>
  <si>
    <t>Yellow background</t>
  </si>
  <si>
    <t>Cells requiring your attention / inputs</t>
  </si>
  <si>
    <t>QUALITY SCORE INTERPRETATION</t>
  </si>
  <si>
    <t>80 – 100</t>
  </si>
  <si>
    <t>HIGH QUALITY — Use with full confidence in analysis</t>
  </si>
  <si>
    <t>60 – 79</t>
  </si>
  <si>
    <t>ACCEPTABLE — Use with appropriate caveats in report</t>
  </si>
  <si>
    <t>40 – 59</t>
  </si>
  <si>
    <t>USE WITH CAUTION — Flag as estimated in methodology</t>
  </si>
  <si>
    <t>0 – 39</t>
  </si>
  <si>
    <t>INSUFFICIENT — Seek alternative source or disclose gap</t>
  </si>
  <si>
    <t>DATA DICTIONARY -ESG KPI AVAILABILITY- CHECKLIST</t>
  </si>
  <si>
    <t>CAPSTONE PROJECT</t>
  </si>
  <si>
    <t>#</t>
  </si>
  <si>
    <t>KPI Name</t>
  </si>
  <si>
    <t xml:space="preserve">Description </t>
  </si>
  <si>
    <t>Calculation Logic</t>
  </si>
  <si>
    <t>Unit</t>
  </si>
  <si>
    <t>Framework</t>
  </si>
  <si>
    <t xml:space="preserve">KPI Source </t>
  </si>
  <si>
    <t>Availability
(✓/P/✗)</t>
  </si>
  <si>
    <t>Company KPI source</t>
  </si>
  <si>
    <t>Assurance</t>
  </si>
  <si>
    <t>Notes</t>
  </si>
  <si>
    <t>Scope 1 GHG Emissions (tCO₂e)</t>
  </si>
  <si>
    <t>Direct (Scope 1) greenhouse gas (GHG) emissions.</t>
  </si>
  <si>
    <t>Activity-level fuel data × emissions factors. Includes natural gas, coal, oil #2, oil #4, oil #6, shale oil, propane, diesel, and biogenic CH4 and N2O; gases included are CO2, CH4 and N2O.</t>
  </si>
  <si>
    <t>ktonnes CO2e in report; converted to tCO2e in Data Inventory</t>
  </si>
  <si>
    <t>GRI 305-1; GHG Protocol Corporate Accounting and Reporting Standard</t>
  </si>
  <si>
    <t>Smurfit Westrock Sustainability Report 2024</t>
  </si>
  <si>
    <t>P</t>
  </si>
  <si>
    <t>2024 Sustainability Report p.125 and EY schedule p.169: WestRock Scope 1 direct emissions = 5,674 ktonnes CO2e</t>
  </si>
  <si>
    <t>Limited assurance (EY, legacy WestRock only)</t>
  </si>
  <si>
    <t>Scope 2 GHG Emissions - Market Based (tCO₂e)</t>
  </si>
  <si>
    <t>Indirect (Scope 2) market-based greenhouse gas emissions.</t>
  </si>
  <si>
    <t>Activity-level purchased electricity and steam data × emissions factors under the market-based method; adjusts for renewable energy attributes generated and sold where applicable.</t>
  </si>
  <si>
    <t>GRI 305-2; GHG Protocol Scope 2 Guidance</t>
  </si>
  <si>
    <t>2024 Sustainability Report p.125 and EY schedule p.169: WestRock Scope 2 market-based = 2,300 ktonnes CO2e</t>
  </si>
  <si>
    <t>Scope 2 GHG Emissions - Location Based (tCO₂e)</t>
  </si>
  <si>
    <t>Indirect (Scope 2) location-based greenhouse gas emissions.</t>
  </si>
  <si>
    <t>Reported by legacy WestRock in the supporting-data table using the location-based method for purchased energy. The supporting-data table discloses the value directly.</t>
  </si>
  <si>
    <t>2024 Sustainability Report p.125: WestRock Scope 2 location-based = 1,746 ktonnes CO2e</t>
  </si>
  <si>
    <t>Self-reported (legacy WestRock table)</t>
  </si>
  <si>
    <t>Scope 3 GHG Emissions - Total (tCO₂e)</t>
  </si>
  <si>
    <t>Other indirect (Scope 3) greenhouse gas emissions for relevant categories.</t>
  </si>
  <si>
    <t>Sum of relevant Scope 3 categories 1, 2, 3, 4, 9, 10 and 12 under the GHG Protocol Corporate Value Chain (Scope 3) Accounting and Reporting Standard.</t>
  </si>
  <si>
    <t>GRI 305-3; GHG Protocol Corporate Value Chain (Scope 3)</t>
  </si>
  <si>
    <t>2024 Sustainability Report p.125 and EY schedule p.171: WestRock Scope 3 relevant categories = 9,452 ktonnes CO2e</t>
  </si>
  <si>
    <t>Limited assurance (EY, legacy WestRock relevant categories)</t>
  </si>
  <si>
    <t>Carbon Intensity (tCO₂e per $M revenue)</t>
  </si>
  <si>
    <t>Template asks for carbon intensity per $M revenue; the report discloses GHG emissions intensity per ton, not per revenue.</t>
  </si>
  <si>
    <t>Not disclosed on a revenue basis. WestRock reports GHG emissions intensity of 0.55 tCO2e/ton in the supporting-data table.</t>
  </si>
  <si>
    <t>tCO2e/$M requested by template; report provides tCO2e/ton</t>
  </si>
  <si>
    <t>GRI 305-4</t>
  </si>
  <si>
    <t>✗</t>
  </si>
  <si>
    <t>No directly disclosed carbon intensity per $M revenue in the 2024 Sustainability Report; WestRock instead reports 0.55 tCO2e/ton GHG emissions intensity on p.125</t>
  </si>
  <si>
    <t>Not disclosed for revenue basis</t>
  </si>
  <si>
    <t>Total Energy Consumption (GWh)</t>
  </si>
  <si>
    <t>Energy consumption within the organization.</t>
  </si>
  <si>
    <t>Total direct energy consumption + total indirect energy consumption; direct = renewable + non-renewable fuel consumption, indirect = purchased electricity + purchased steam − electricity sold − steam sold.</t>
  </si>
  <si>
    <t>MMBtu in report; converted to GWh in Data Inventory</t>
  </si>
  <si>
    <t>GRI 302-1; SASB RR-PP-130a.1</t>
  </si>
  <si>
    <t>2024 Sustainability Report p.125 and EY schedule p.175: WestRock total energy used = 284,911,157 MMBtu; converted to GWh for this template</t>
  </si>
  <si>
    <t>Limited assurance (EY, legacy WestRock energy data)</t>
  </si>
  <si>
    <t>Renewable Energy Percentage (%)</t>
  </si>
  <si>
    <t>Share of total energy mix from renewable sources.</t>
  </si>
  <si>
    <t>Fuel consumption from renewable sources ÷ total energy consumption.</t>
  </si>
  <si>
    <t>%</t>
  </si>
  <si>
    <t>2024 Sustainability Report p.125 and EY schedule p.175: WestRock energy mix = 60% renewable</t>
  </si>
  <si>
    <t>Directly disclosed in legacy WestRock energy table</t>
  </si>
  <si>
    <t>Energy Intensity (GJ per unit of output)</t>
  </si>
  <si>
    <t>Purchased fuel efficiency / energy intensity for mills.</t>
  </si>
  <si>
    <t>Purchased energy for mills ÷ tons of paperboard and containerboard produced. Purchased energy includes purchased fuel, electricity, and steam, net of sold electricity where applicable.</t>
  </si>
  <si>
    <t>MMBtu/ton in report; converted to GJ/ton in Data Inventory</t>
  </si>
  <si>
    <t>GRI 302-3; DOE Energy Intensity and Baselining Guidance</t>
  </si>
  <si>
    <t>2024 Sustainability Report p.125 and EY schedule p.175: purchased fuel energy efficiency = 12.62 MMBtu/ton; used as proxy</t>
  </si>
  <si>
    <t>Proxy from limited-assured WestRock purchased fuel efficiency</t>
  </si>
  <si>
    <t>Total Water Withdrawal (Megalitres)</t>
  </si>
  <si>
    <t>Mill water withdrawal from all sources.</t>
  </si>
  <si>
    <t>Total water intake from surface water, groundwater, and third-party water for mills manufacturing paperboard and containerboard.</t>
  </si>
  <si>
    <t>Megalitres</t>
  </si>
  <si>
    <t>GRI 303-3; SASB RR-PP-140a.1</t>
  </si>
  <si>
    <t>2024 Sustainability Report p.127 and EY schedule p.175: WestRock mill water withdrawal = 470,201 megalitres</t>
  </si>
  <si>
    <t>Limited assurance (EY, legacy WestRock mills)</t>
  </si>
  <si>
    <t>Water Recycled / Reused (%)</t>
  </si>
  <si>
    <t>Quantitative recycled / reused water percentage.</t>
  </si>
  <si>
    <t>Not disclosed in the 2024 Sustainability Report.</t>
  </si>
  <si>
    <t>Not disclosed in report</t>
  </si>
  <si>
    <t>No quantitative recycled / reused water percentage disclosed in the 2024 Sustainability Report</t>
  </si>
  <si>
    <t>Not disclosed</t>
  </si>
  <si>
    <t>Total Waste Generated (Metric Tonnes)</t>
  </si>
  <si>
    <t>Mill waste generated across landfill, waste-to-energy, and beneficial-use streams.</t>
  </si>
  <si>
    <t>Landfill + waste-to-energy + beneficial use. The report gives U.S. short tons; Data Inventory converts to metric tonnes for the template.</t>
  </si>
  <si>
    <t>U.S. short tons in report; converted to metric tonnes in Data Inventory</t>
  </si>
  <si>
    <t>GRI 306-3; GRI 306-4; GRI 306-5</t>
  </si>
  <si>
    <t>2024 Sustainability Report p.127: WestRock mill waste streams (landfill, waste-to-energy, beneficial use) converted from short tons to metric tonnes</t>
  </si>
  <si>
    <t>Self-reported / derived (legacy WestRock mills)</t>
  </si>
  <si>
    <t>Waste Diversion Rate (% not to landfill)</t>
  </si>
  <si>
    <t>Share of disclosed mill waste not sent to landfill.</t>
  </si>
  <si>
    <t>(Waste-to-energy + beneficial use) ÷ (landfill + waste-to-energy + beneficial use). Derived from the WestRock mill waste table.</t>
  </si>
  <si>
    <t>GRI 306-4; GRI 306-5</t>
  </si>
  <si>
    <t>Calculated from 2024 Sustainability Report p.127 WestRock mill waste streams</t>
  </si>
  <si>
    <t>Calculated from self-reported WestRock mill waste data</t>
  </si>
  <si>
    <t>Hazardous Waste Generated (Metric Tonnes)</t>
  </si>
  <si>
    <t>Hazardous waste generated.</t>
  </si>
  <si>
    <t>Reported separately from non-hazardous waste. For this template, the directly disclosed value available is Smurfit Kappa total group operations hazardous waste.</t>
  </si>
  <si>
    <t>Tonnes</t>
  </si>
  <si>
    <t>GRI 306-3</t>
  </si>
  <si>
    <t>2024 Sustainability Report p.119: Smurfit Kappa hazardous waste = 13,369 tonnes</t>
  </si>
  <si>
    <t>Limited assurance (KPMG, legacy Smurfit Kappa only)</t>
  </si>
  <si>
    <t>Total Number of Employees</t>
  </si>
  <si>
    <t>Total headcount at end of reporting period.</t>
  </si>
  <si>
    <t>Full-time + Part-time + Temporary headcounts.</t>
  </si>
  <si>
    <t>GRI 2-7</t>
  </si>
  <si>
    <t>https://www.globalreporting.org/how-to-use-the-gri-standards/gri-standards-english-language/</t>
  </si>
  <si>
    <t>✓</t>
  </si>
  <si>
    <t>2024 Sustainability Report</t>
  </si>
  <si>
    <t>Resonable</t>
  </si>
  <si>
    <t>Women in Total Workforce (%)</t>
  </si>
  <si>
    <t>Gender diversity across the entire organization.</t>
  </si>
  <si>
    <t>(Total female employees ÷ Total employees) × 100.</t>
  </si>
  <si>
    <t>GRI 405-1</t>
  </si>
  <si>
    <t>Women in Senior Management (%)</t>
  </si>
  <si>
    <t>Gender diversity at leadership/executive levels.</t>
  </si>
  <si>
    <t>(Female managers ÷ Total managers) × 100.</t>
  </si>
  <si>
    <t>SASB</t>
  </si>
  <si>
    <t>https://navigator.sasb.ifrs.org/login</t>
  </si>
  <si>
    <t>Women on Board (%)</t>
  </si>
  <si>
    <t>Female representation on the Board of Directors.</t>
  </si>
  <si>
    <t>(Female directors ÷ Total board members) × 100.</t>
  </si>
  <si>
    <t>ESRS G1-1</t>
  </si>
  <si>
    <t>https://cdn.cdp.net/cdp-production/comfy/cms/files/files/000/006/299/original/CDP's_comment_on_the_European_Sustainability_Reporting_Standards.pdf</t>
  </si>
  <si>
    <t>X</t>
  </si>
  <si>
    <t>Gender Pay Gap — Unadjusted (%)</t>
  </si>
  <si>
    <t>Difference in median earnings between men and women.</t>
  </si>
  <si>
    <t>[(Median male pay - Median female pay) ÷ Median male pay] × 100.</t>
  </si>
  <si>
    <t>ESRS S1-16</t>
  </si>
  <si>
    <t>Total Recordable Incident Rate (TRIR)</t>
  </si>
  <si>
    <t>Rate of recordable work-related injuries.</t>
  </si>
  <si>
    <t>(Total injuries × 200,000) ÷ Total hours worked.</t>
  </si>
  <si>
    <t>Rate</t>
  </si>
  <si>
    <t>SASB / OSHA</t>
  </si>
  <si>
    <t>https://navigator.sasb.ifrs.org/login, https://www.osha.gov/</t>
  </si>
  <si>
    <t>Lost Time Injury Frequency Rate (LTIFR)</t>
  </si>
  <si>
    <t>Frequency of injuries resulting in lost work time.</t>
  </si>
  <si>
    <t>(Lost time injuries × 1,000,000) ÷ Total hours worked.</t>
  </si>
  <si>
    <t>GRI 403-9</t>
  </si>
  <si>
    <t>Voluntary Employee Turnover Rate (%)</t>
  </si>
  <si>
    <t>Rate at which employees leave of their own accord.</t>
  </si>
  <si>
    <t>(Voluntary resignations ÷ Average headcount) × 100.</t>
  </si>
  <si>
    <t>GRI 401-1</t>
  </si>
  <si>
    <t>Average Training Hours per Employee</t>
  </si>
  <si>
    <t>Average professional development time per person.</t>
  </si>
  <si>
    <t>Total training hours ÷ Total employees.</t>
  </si>
  <si>
    <t>GRI 404-1</t>
  </si>
  <si>
    <t>Employee Engagement Score (%)</t>
  </si>
  <si>
    <t>Measure of employee motivation and satisfaction.</t>
  </si>
  <si>
    <t>Average score from standardized annual survey.</t>
  </si>
  <si>
    <t>SASB (General)</t>
  </si>
  <si>
    <t>Supply Chain: % Suppliers Audited</t>
  </si>
  <si>
    <t>Oversight of supply chain ethics/ESG</t>
  </si>
  <si>
    <t>(Suppliers audited ÷ Total Tier-1 suppliers) × 100.</t>
  </si>
  <si>
    <t>GRI 308/414</t>
  </si>
  <si>
    <t>Total Board Size (# Directors)</t>
  </si>
  <si>
    <t>Total count of individuals on the Board.</t>
  </si>
  <si>
    <t>Sum of all active directors.</t>
  </si>
  <si>
    <t>Board Independence (% Independent)</t>
  </si>
  <si>
    <t>Ratio of non-executive/independent directors</t>
  </si>
  <si>
    <t>(Independent directors ÷ Total directors) × 100</t>
  </si>
  <si>
    <t>GRI 2-9</t>
  </si>
  <si>
    <t>Average Board Tenure (years)</t>
  </si>
  <si>
    <t>Average length of service for board members.</t>
  </si>
  <si>
    <t>Sum of years served ÷ Total directors.</t>
  </si>
  <si>
    <t>IFRS S1</t>
  </si>
  <si>
    <t>CEO Pay Ratio (CEO to Median Employee)</t>
  </si>
  <si>
    <t>Pay equity between leadership and staff.</t>
  </si>
  <si>
    <t>Total CEO compensation ÷ Median employee pay.</t>
  </si>
  <si>
    <t>SEC / ESRS S1</t>
  </si>
  <si>
    <t>ESG Metrics in Executive Incentive Pay (Y/N)</t>
  </si>
  <si>
    <t>Whether ESG KPIs affect executive bonuses.</t>
  </si>
  <si>
    <t>Binary disclosure (Yes/No).</t>
  </si>
  <si>
    <t>Number of Ethics / Compliance Violations</t>
  </si>
  <si>
    <t>Total number of confirmed breaches/whistleblows.</t>
  </si>
  <si>
    <t>Count of substantiated legal or policy breaches.</t>
  </si>
  <si>
    <t>GRI 2-27</t>
  </si>
  <si>
    <t>Anti-corruption Policy in Place (Y/N)</t>
  </si>
  <si>
    <t>Publicly available commitment against bribery.</t>
  </si>
  <si>
    <t>GRI 205-2</t>
  </si>
  <si>
    <t>ESG Assurance Provider</t>
  </si>
  <si>
    <t>3rd party validation of information and data</t>
  </si>
  <si>
    <t>Annual Revenue ($M)</t>
  </si>
  <si>
    <t>Net sales for the year.</t>
  </si>
  <si>
    <t>Direct annual-report figure for 2024 net sales.</t>
  </si>
  <si>
    <t>USD millions</t>
  </si>
  <si>
    <t>Annual Report / Form 10-K</t>
  </si>
  <si>
    <t>Smurfit Westrock 2024 Annual Report</t>
  </si>
  <si>
    <t>2024 Annual Report pdf p.57 and Segment Information note pdf p.102: net sales (unaffiliated customers) = $21,109 million</t>
  </si>
  <si>
    <t>Audited annual report</t>
  </si>
  <si>
    <t>EBITDA Margin (%)</t>
  </si>
  <si>
    <t>Adjusted EBITDA as a percentage of net sales.</t>
  </si>
  <si>
    <t>Adjusted EBITDA ÷ net sales × 100.</t>
  </si>
  <si>
    <t>Annual Report non-GAAP reconciliation</t>
  </si>
  <si>
    <t>Calculated from 2024 Annual Report pdf p.68 Adjusted EBITDA = $3,386 million and pdf p.57 net sales = $21,109 million</t>
  </si>
  <si>
    <t>Calculated from annual report figures</t>
  </si>
  <si>
    <t>Capital Expenditure ($M)</t>
  </si>
  <si>
    <t>Capital expenditures for the year.</t>
  </si>
  <si>
    <t>Direct annual-report figure for total capital expenditure.</t>
  </si>
  <si>
    <t>2024 Annual Report pdf p.105: total capital expenditure = $1,466 million</t>
  </si>
  <si>
    <t>Market Capitalization ($M)</t>
  </si>
  <si>
    <t>Year-end market value of equity.</t>
  </si>
  <si>
    <t>Year-end closing share price × shares outstanding at December 31, 2024.</t>
  </si>
  <si>
    <t>Calculated from Annual Report + market price</t>
  </si>
  <si>
    <t>Calculated from 2024 Annual Report pdf p.78 shares outstanding = 520,444,261 and 2024-12-31 closing share price = $51.3218</t>
  </si>
  <si>
    <t>Calculated from audited shares and external market price</t>
  </si>
  <si>
    <t>R&amp;D Expenditure ($M)</t>
  </si>
  <si>
    <t>Research and development expenditure.</t>
  </si>
  <si>
    <t>Not separately disclosed in the 2024 Annual Report.</t>
  </si>
  <si>
    <t>Not disclosed in Annual Report</t>
  </si>
  <si>
    <t>No separate R&amp;D expenditure line disclosed in the 2024 Annual Report</t>
  </si>
  <si>
    <t>Count your ✓, P, and ✗ marks and calculate coverage rate below</t>
  </si>
  <si>
    <t>[Count manually]</t>
  </si>
  <si>
    <t>[=Available / Total KPIs]</t>
  </si>
  <si>
    <t>[Name the most critical missing KPI and why it matters]</t>
  </si>
  <si>
    <t>ESG DATA INVENTORY &amp; QUALITY SCORING</t>
  </si>
  <si>
    <t>Company: Smurfit Westrock</t>
  </si>
  <si>
    <t>Industry: Paper &amp; Packaging</t>
  </si>
  <si>
    <t>Reporting Year: 2024</t>
  </si>
  <si>
    <t>25=Assured / 15=Self-rep / 5=Est.</t>
  </si>
  <si>
    <t>25=Full method / 15=Value only / 0=None</t>
  </si>
  <si>
    <t>25=Current yr / 20=1yr old / 5=3+yr</t>
  </si>
  <si>
    <t>25=Match / 15=&lt;5% var / 0=No 2nd source</t>
  </si>
  <si>
    <t>SUM of K+L+M+N</t>
  </si>
  <si>
    <t>Auto-calculated</t>
  </si>
  <si>
    <t>Pillar
(E/S/G/Financial)</t>
  </si>
  <si>
    <t>KPI Category</t>
  </si>
  <si>
    <t>Value
(Enter number)</t>
  </si>
  <si>
    <t>Reporting Year</t>
  </si>
  <si>
    <t>Source Type</t>
  </si>
  <si>
    <t>Source URL / Citation</t>
  </si>
  <si>
    <t>Assurance Level</t>
  </si>
  <si>
    <t>Accuracy Score
(0–25)</t>
  </si>
  <si>
    <t>Completeness Score
(0–25)</t>
  </si>
  <si>
    <t>Timeliness Score
(0–25)</t>
  </si>
  <si>
    <t>Consistency Score
(0–25)</t>
  </si>
  <si>
    <t>TOTAL Quality Score
(0–100)</t>
  </si>
  <si>
    <t>Quality Grade</t>
  </si>
  <si>
    <t>Notes / Caveats</t>
  </si>
  <si>
    <t>E</t>
  </si>
  <si>
    <t>Carbon</t>
  </si>
  <si>
    <t>tCO₂e</t>
  </si>
  <si>
    <t>Company ESG Report</t>
  </si>
  <si>
    <t>Scope 3 GHG Emissions (Total)</t>
  </si>
  <si>
    <t>Westrock 2023 Sustainability Report</t>
  </si>
  <si>
    <t>Westrock 2022 Sustainability Report</t>
  </si>
  <si>
    <t>Westrock 2021 Sustainability Report</t>
  </si>
  <si>
    <t>Westrock 2020 GRI Report</t>
  </si>
  <si>
    <t>Energy</t>
  </si>
  <si>
    <t>Total Energy Consumption</t>
  </si>
  <si>
    <t>GWh</t>
  </si>
  <si>
    <t>Water</t>
  </si>
  <si>
    <t>Total Water Withdrawal</t>
  </si>
  <si>
    <t>Waste</t>
  </si>
  <si>
    <t>Total Waste Generated</t>
  </si>
  <si>
    <t>Metric Tonnes</t>
  </si>
  <si>
    <t>S</t>
  </si>
  <si>
    <t>Workforce</t>
  </si>
  <si>
    <t>Headcount</t>
  </si>
  <si>
    <t>Diversity</t>
  </si>
  <si>
    <t>Women in Total Workforce</t>
  </si>
  <si>
    <t>Women in Senior Management</t>
  </si>
  <si>
    <t>Safety</t>
  </si>
  <si>
    <t>Rate per 200k hrs</t>
  </si>
  <si>
    <t>Training</t>
  </si>
  <si>
    <t>Hours/employee</t>
  </si>
  <si>
    <t>G</t>
  </si>
  <si>
    <t>Board</t>
  </si>
  <si>
    <t>Total Board Size</t>
  </si>
  <si>
    <t>Directors</t>
  </si>
  <si>
    <t>Board Independence (% Independent Directors)</t>
  </si>
  <si>
    <t>Women on Board</t>
  </si>
  <si>
    <t>Ethics</t>
  </si>
  <si>
    <t>Yes</t>
  </si>
  <si>
    <t>Performance</t>
  </si>
  <si>
    <t>Annual Revenue</t>
  </si>
  <si>
    <t>USD Millions</t>
  </si>
  <si>
    <t>2024 Annual Report pdf p.57 and pdf p.102: net sales (unaffiliated customers) = $21,109 million. https://www.smurfitwestrock.com/-/m/files/publications---global/financial-reports/sw-2024-annual-report.pdf?rev=4870ca9e316e43588dd14c35c5247fa3</t>
  </si>
  <si>
    <t>EBITDA Margin</t>
  </si>
  <si>
    <t>2024 Annual Report pdf p.105: total capital expenditure = $1,466 million. https://www.smurfitwestrock.com/-/m/files/publications---global/financial-reports/sw-2024-annual-report.pdf?rev=4870ca9e316e43588dd14c35c5247fa3</t>
  </si>
  <si>
    <t>CROSS-SOURCE COMPARISON — 3 KPIs (1 Environmental · 1 Social · 1 Governance)</t>
  </si>
  <si>
    <t>PURPOSE: Pull the same KPI from 3 different sources. Calculate the variance. Write your explanation. This becomes your Methodology section.</t>
  </si>
  <si>
    <t xml:space="preserve">  ENVIRONMENTAL KPI</t>
  </si>
  <si>
    <t>KPI Being Compared:</t>
  </si>
  <si>
    <t>Field</t>
  </si>
  <si>
    <t>Source 1 (Company Report)</t>
  </si>
  <si>
    <t>Source 2 (Bloomberg / CDP)</t>
  </si>
  <si>
    <t>Source 3 (Other Database)</t>
  </si>
  <si>
    <t>Variance</t>
  </si>
  <si>
    <t>Value</t>
  </si>
  <si>
    <t>[Enter value]</t>
  </si>
  <si>
    <t>Unit / Definition</t>
  </si>
  <si>
    <t>[Enter unit]</t>
  </si>
  <si>
    <t>[Enter year]</t>
  </si>
  <si>
    <t>[None/Limited/Reasonable]</t>
  </si>
  <si>
    <t>[Enter URL or citation]</t>
  </si>
  <si>
    <t>⬇  YOUR EXPLANATION OF DISCREPANCY (write below — this becomes part of your capstone project)</t>
  </si>
  <si>
    <t>[Enter your explanation here: What caused the discrepancy? Different boundary? Different fiscal year? Restatement? Methodology difference? Which source do you trust most and why?]</t>
  </si>
  <si>
    <t xml:space="preserve">  SOCIAL KPI</t>
  </si>
  <si>
    <t xml:space="preserve">  GOVERNANCE KPI</t>
  </si>
  <si>
    <t xml:space="preserve">    ESG DATA QUALITY — SUMMARY </t>
  </si>
  <si>
    <t>Company: [Auto-updates from Data Inventory]  |  This sheet summarizes quality scores and coverage from your data entry.</t>
  </si>
  <si>
    <t>SECTION 1 — KPI COUNT BY PILLAR</t>
  </si>
  <si>
    <t>Pillar</t>
  </si>
  <si>
    <t>Total KPIs Entered</t>
  </si>
  <si>
    <t>Avg Quality Score</t>
  </si>
  <si>
    <t>High Quality</t>
  </si>
  <si>
    <t>Acceptable</t>
  </si>
  <si>
    <t>Needs Improvement</t>
  </si>
  <si>
    <t>Environmental</t>
  </si>
  <si>
    <t>Social</t>
  </si>
  <si>
    <t>Governance</t>
  </si>
  <si>
    <t>ALL PILLARS</t>
  </si>
  <si>
    <t>SECTION 2 — DATA GAPS (KPIs with Insufficient Quality)</t>
  </si>
  <si>
    <t>Quality Score</t>
  </si>
  <si>
    <t>Grade</t>
  </si>
  <si>
    <t>Suggested Action</t>
  </si>
  <si>
    <t>SECTION 3 — DATA GAP ANALYSIS (150-word written reflection)</t>
  </si>
  <si>
    <t>The current information shows several gaps regarding the data across all pillars. For Governance the number of sustained ethics violations due to the lack of regulation on disclosure, this doesnt represent an impact on the carbon footprint analysis. The company has stablished methods to report ethics complains and a process to adress them. For Financial the Market Capitalization, as a recently formed company and indexed into the SP500 after the Merger the market volatility it shows its dependance on global supply chain transport demand, this changes pose an impact on the carbon footprint calculation as it grows as the demand for products increase across the supply chain. For the Social pillar the audited supply chain represents the bigest gap since its focus is on the fiber sourcing for both virgin and recycled fibers validated by third parties but other key suppliers are under internal regulations not much is disclosed about small suppliers, this represents an impact on the carbon footprint calculation as small suppliers represent portion of the footprint. The gaps presented show a company that is growing and is focused on covering this gaps in a short and medium term.</t>
  </si>
  <si>
    <t>Quality Scoring Rubric &amp; Framework Guide</t>
  </si>
  <si>
    <t>TABLE 1 — QUALITY SCORING RUBRIC (Reference while filling Data Inventory)</t>
  </si>
  <si>
    <t>Dimension</t>
  </si>
  <si>
    <t>Max Points</t>
  </si>
  <si>
    <t>Score</t>
  </si>
  <si>
    <t>Criteria</t>
  </si>
  <si>
    <t>Example</t>
  </si>
  <si>
    <t>ACCURACY</t>
  </si>
  <si>
    <t>25 pts</t>
  </si>
  <si>
    <t>Externally assured by independent firm (KPMG, Deloitte, PwC) | From externally audited Annual Report / 10-K\</t>
  </si>
  <si>
    <t>Limited Assurance provided by Deloitte' stated in report | Revenue from SEC 10-K filing</t>
  </si>
  <si>
    <t>Company self-reported in Sustainability / ESG Report</t>
  </si>
  <si>
    <t>Scope 1 data in standalone sustainability PDF</t>
  </si>
  <si>
    <t>Estimated by reputable third party (Bloomberg, MSCI)</t>
  </si>
  <si>
    <t>Bloomberg ESG estimate for small-cap company</t>
  </si>
  <si>
    <t>Modeled / inferred from proxy data</t>
  </si>
  <si>
    <t>Estimated from industry average intensity × revenue</t>
  </si>
  <si>
    <t>Unknown source or not disclosed</t>
  </si>
  <si>
    <t>'Data not available for this metric'</t>
  </si>
  <si>
    <t>COMPLETENESS</t>
  </si>
  <si>
    <t>Full value + complete methodology + boundary definition disclosed</t>
  </si>
  <si>
    <t>'Scope 1 includes all wholly-owned facilities. Calculated using EPA emission factors 2023. Methodology reviewed by [firm].'</t>
  </si>
  <si>
    <t>Value disclosed, no methodology detail</t>
  </si>
  <si>
    <t>'Scope 1 Emissions: 245,000 tCO₂e' with no further detail</t>
  </si>
  <si>
    <t>Partial data — some years or business units missing</t>
  </si>
  <si>
    <t>Only 2 of 5 operating regions included in figure</t>
  </si>
  <si>
    <t>Range given rather than specific value</t>
  </si>
  <si>
    <t>'Approximately 200,000–250,000 tCO₂e'</t>
  </si>
  <si>
    <t>Not disclosed at all</t>
  </si>
  <si>
    <t>KPI completely absent from all reports</t>
  </si>
  <si>
    <t>TIMELINESS</t>
  </si>
  <si>
    <t>Data is from current fiscal year (within 12 months)</t>
  </si>
  <si>
    <t>2023 data in a 2024 report (published early 2024)</t>
  </si>
  <si>
    <t>Data is 1 fiscal year old</t>
  </si>
  <si>
    <t>2022 data cited in 2024 report</t>
  </si>
  <si>
    <t>Data is 2 fiscal years old</t>
  </si>
  <si>
    <t>2021 data in 2024 report — common for Scope 3</t>
  </si>
  <si>
    <t>Data is 3 or more years old</t>
  </si>
  <si>
    <t>2020 data — baseline only, not current performance</t>
  </si>
  <si>
    <t>Date of data is unknown</t>
  </si>
  <si>
    <t>No year specified for the reported figure</t>
  </si>
  <si>
    <t>CONSISTENCY</t>
  </si>
  <si>
    <t>Values match exactly (or within rounding) across all sources</t>
  </si>
  <si>
    <t>Company report: 245,000 tCO₂e  |  CDP: 245,200 tCO₂e  ← rounding only</t>
  </si>
  <si>
    <t>Minor variation &lt; 5% between sources</t>
  </si>
  <si>
    <t>Company: 245,000  |  Bloomberg: 250,000  ← 2% variance</t>
  </si>
  <si>
    <t>Medium variation  5–10% between sources</t>
  </si>
  <si>
    <t>Company: 245,000  |  Bloomberg: 250,000  ← 5% variance</t>
  </si>
  <si>
    <t>Significant variation 10–15%</t>
  </si>
  <si>
    <t>Company: 245,000  |  CDP: 280,000  ← 14% variance — investigate</t>
  </si>
  <si>
    <t>Major discrepancy &gt; 15% or only one source available</t>
  </si>
  <si>
    <t>Only one source found — cannot assess consistency</t>
  </si>
  <si>
    <t>TABLE 2 — SOURCE TYPE CLASSIFICATION GUIDE</t>
  </si>
  <si>
    <t>Description</t>
  </si>
  <si>
    <t>Typical Accuracy Score</t>
  </si>
  <si>
    <t>Where to Find</t>
  </si>
  <si>
    <t>Company ESG / Sustainability Report</t>
  </si>
  <si>
    <t>Standalone annual sustainability disclosure published by company</t>
  </si>
  <si>
    <t>Company IR website → Sustainability or ESG section</t>
  </si>
  <si>
    <t>Annual Report / 10-K / 20-F</t>
  </si>
  <si>
    <t>Legally filed annual report with financial statements</t>
  </si>
  <si>
    <t>SEC EDGAR (US), Companies House (UK), company IR site</t>
  </si>
  <si>
    <t>CDP Submission</t>
  </si>
  <si>
    <t>Response to CDP climate/water/forest questionnaire</t>
  </si>
  <si>
    <t>15–20</t>
  </si>
  <si>
    <t>cdp.net → data portal → search company name</t>
  </si>
  <si>
    <t>Proxy Statement / DEF 14A</t>
  </si>
  <si>
    <t>Annual shareholder meeting document with governance data</t>
  </si>
  <si>
    <t>SEC EDGAR → search company → DEF 14A</t>
  </si>
  <si>
    <t>Verified / Assured Data</t>
  </si>
  <si>
    <t>Data with independent third-party assurance statement</t>
  </si>
  <si>
    <t>Look for assurance letter in back of sustainability report</t>
  </si>
  <si>
    <t>Bloomberg / Refinitiv</t>
  </si>
  <si>
    <t>Commercial data providers that aggregate ESG data</t>
  </si>
  <si>
    <t>10–15</t>
  </si>
  <si>
    <t>Bloomberg terminal → ESG tab or Refinitiv Eikon</t>
  </si>
  <si>
    <t>GRI Database</t>
  </si>
  <si>
    <t>Global Reporting Initiative database of GRI-aligned disclosures</t>
  </si>
  <si>
    <t>database.globalreporting.org</t>
  </si>
  <si>
    <t>Third-Party Estimate</t>
  </si>
  <si>
    <t>MSCI, Sustainalytics, or similar agency estimates</t>
  </si>
  <si>
    <t>MSCI ESG Ratings, Sustainalytics.com</t>
  </si>
  <si>
    <t>Calculated / Derived</t>
  </si>
  <si>
    <t>Value calculated by you from primary sources</t>
  </si>
  <si>
    <t>Document your calculation methodology clearly</t>
  </si>
  <si>
    <t>TABLE 3 — ESG FRAMEWORK QUICK REFERENCE</t>
  </si>
  <si>
    <t>Focus</t>
  </si>
  <si>
    <t>Best For</t>
  </si>
  <si>
    <t>Key KPIs Covered</t>
  </si>
  <si>
    <t>Website</t>
  </si>
  <si>
    <t>GRI</t>
  </si>
  <si>
    <t>Stakeholder-focused sustainability disclosures</t>
  </si>
  <si>
    <t>Comprehensive ESG reporting</t>
  </si>
  <si>
    <t>300+ disclosures across environmental, social, governance topics</t>
  </si>
  <si>
    <t>https://www.globalreporting.org/standards/</t>
  </si>
  <si>
    <t>SASB (now maintained by ISSB)</t>
  </si>
  <si>
    <t>Industry-specific financially material ESG metrics</t>
  </si>
  <si>
    <t>Investor-focused reporting</t>
  </si>
  <si>
    <t>77 industry standards with 5–13 metrics</t>
  </si>
  <si>
    <t>https://www.ifrs.org/issued-standards/sasb-standards/</t>
  </si>
  <si>
    <t>TCFD</t>
  </si>
  <si>
    <t>Climate-related financial risk disclosure</t>
  </si>
  <si>
    <t>Climate governance and risk management</t>
  </si>
  <si>
    <t>Governance, Strategy, Risk Management, Metrics &amp; Targets</t>
  </si>
  <si>
    <t>https://www.fsb-tcfd.org/#:~:text=The%20Task%20Force%20on%20Climate%2Drelated%20Financial%20Disclosures,the%20organization's%20businesses%2C%20strategy%2C%20and%20financial%20planning</t>
  </si>
  <si>
    <t>ISSB (IFRS S1 &amp; S2)</t>
  </si>
  <si>
    <t>Global baseline sustainability reporting</t>
  </si>
  <si>
    <t>Financial market transparency</t>
  </si>
  <si>
    <t>Sustainability risks, climate metrics, governance, strategy</t>
  </si>
  <si>
    <t>https://www.ifrs.org/groups/international-sustainability-standards-board/</t>
  </si>
  <si>
    <t>EU Taxonomy</t>
  </si>
  <si>
    <t>Classification of sustainable activities</t>
  </si>
  <si>
    <t>EU companies under CSRD</t>
  </si>
  <si>
    <t>% revenue, CAPEX, OPEX aligned to taxonomy</t>
  </si>
  <si>
    <t>https://finance.ec.europa.eu/sustainable-finance/tools-and-standards/eu-taxonomy-sustainable-activities_en</t>
  </si>
  <si>
    <t>CDP (Carbon Disclosure Project)</t>
  </si>
  <si>
    <t>Global environmental disclosure platform for climate, water, and forest impacts</t>
  </si>
  <si>
    <t>Companies reporting environmental risks and sustainability performance to investors and stakeholders</t>
  </si>
  <si>
    <t>Greenhouse gas emissions (Scope 1, 2, 3), climate risk management, water use, deforestation impacts, environmental targets and governance</t>
  </si>
  <si>
    <t>https://www.cdp.net</t>
  </si>
  <si>
    <t>Metric</t>
  </si>
  <si>
    <t>Value / Formula</t>
  </si>
  <si>
    <t>Source / Notes</t>
  </si>
  <si>
    <t>Scope 1 direct emissions (WestRock, tCO2e)</t>
  </si>
  <si>
    <t>2024 Sustainability Report p.125 and EY schedule p.169. WestRock only. https://www.smurfitkappa.com/-/m/files/publications---global/sr-2024-downloads/smurfit_westrock_sustainability_report_2024.pdf?rev=8fa6453fc2294a2a894c5bedcc52de80</t>
  </si>
  <si>
    <t>Scope 2 market-based (WestRock, tCO2e)</t>
  </si>
  <si>
    <t>Scope 2 location-based (WestRock, tCO2e)</t>
  </si>
  <si>
    <t>2024 Sustainability Report p.125. WestRock only. https://www.smurfitkappa.com/-/m/files/publications---global/sr-2024-downloads/smurfit_westrock_sustainability_report_2024.pdf?rev=8fa6453fc2294a2a894c5bedcc52de80</t>
  </si>
  <si>
    <t>Scope 3 relevant categories (WestRock, tCO2e)</t>
  </si>
  <si>
    <t>2024 Sustainability Report p.125 and EY schedule p.171. WestRock relevant categories only. https://www.smurfitkappa.com/-/m/files/publications---global/sr-2024-downloads/smurfit_westrock_sustainability_report_2024.pdf?rev=8fa6453fc2294a2a894c5bedcc52de80</t>
  </si>
  <si>
    <t>Total energy used (WestRock, MMBtu)</t>
  </si>
  <si>
    <t>2024 Sustainability Report p.125. https://www.smurfitkappa.com/-/m/files/publications---global/sr-2024-downloads/smurfit_westrock_sustainability_report_2024.pdf?rev=8fa6453fc2294a2a894c5bedcc52de80</t>
  </si>
  <si>
    <t>Total energy consumption (GWh)</t>
  </si>
  <si>
    <t>Converted from MMBtu to GWh for the template using 1 MMBtu = 0.00029307107 GWh.</t>
  </si>
  <si>
    <t>Renewable energy percentage (WestRock %)</t>
  </si>
  <si>
    <t>2024 Sustainability Report p.125 energy mix = 60% renewable. https://www.smurfitkappa.com/-/m/files/publications---global/sr-2024-downloads/smurfit_westrock_sustainability_report_2024.pdf?rev=8fa6453fc2294a2a894c5bedcc52de80</t>
  </si>
  <si>
    <t>Total water withdrawal (WestRock mills, ML)</t>
  </si>
  <si>
    <t>2024 Sustainability Report p.127. WestRock mills only. https://www.smurfitkappa.com/-/m/files/publications---global/sr-2024-downloads/smurfit_westrock_sustainability_report_2024.pdf?rev=8fa6453fc2294a2a894c5bedcc52de80</t>
  </si>
  <si>
    <t>Landfill waste (WestRock mills, short tons)</t>
  </si>
  <si>
    <t>2024 Sustainability Report p.127. https://www.smurfitkappa.com/-/m/files/publications---global/sr-2024-downloads/smurfit_westrock_sustainability_report_2024.pdf?rev=8fa6453fc2294a2a894c5bedcc52de80</t>
  </si>
  <si>
    <t>Waste to energy (WestRock mills, short tons)</t>
  </si>
  <si>
    <t>Beneficial use waste (WestRock mills, short tons)</t>
  </si>
  <si>
    <t>Total waste generated (WestRock mills, short tons)</t>
  </si>
  <si>
    <t>Sum of landfill, waste-to-energy and beneficial-use streams.</t>
  </si>
  <si>
    <t>Total waste generated (WestRock mills, metric tonnes)</t>
  </si>
  <si>
    <t>Converted from U.S. short tons to metric tonnes using 0.90718474.</t>
  </si>
  <si>
    <t>Purchased fuel energy efficiency (WestRock, MMBtu/ton)</t>
  </si>
  <si>
    <t>2024 Sustainability Report p.125 and EY schedule p.175. Proxy metric only. https://www.smurfitkappa.com/-/m/files/publications---global/sr-2024-downloads/smurfit_westrock_sustainability_report_2024.pdf?rev=8fa6453fc2294a2a894c5bedcc52de80</t>
  </si>
  <si>
    <t>Energy intensity proxy (GJ/ton)</t>
  </si>
  <si>
    <t>Converted from MMBtu/ton to GJ/ton using 1 MMBtu = 1.05505585262 GJ.</t>
  </si>
  <si>
    <t>Waste diversion rate (%)</t>
  </si>
  <si>
    <t>Calculated as (waste-to-energy + beneficial use) / total waste * 100.</t>
  </si>
  <si>
    <t>Hazardous waste generated (Smurfit Kappa, metric tonnes)</t>
  </si>
  <si>
    <t>2024 Sustainability Report p.59 / supporting data p.119. Smurfit Kappa only. https://www.smurfitkappa.com/-/m/files/publications---global/sr-2024-downloads/smurfit_westrock_sustainability_report_2024.pdf?rev=8fa6453fc2294a2a894c5bedcc52de80</t>
  </si>
  <si>
    <t>Annual revenue (USD millions)</t>
  </si>
  <si>
    <t>Adjusted EBITDA (USD millions)</t>
  </si>
  <si>
    <t>2024 Annual Report pdf p.68: Adjusted EBITDA = $3,386 million. https://www.smurfitwestrock.com/-/m/files/publications---global/financial-reports/sw-2024-annual-report.pdf?rev=4870ca9e316e43588dd14c35c5247fa3</t>
  </si>
  <si>
    <t>EBITDA margin (%)</t>
  </si>
  <si>
    <t>Calculated as Adjusted EBITDA / net sales * 100.</t>
  </si>
  <si>
    <t>Capital expenditure (USD millions)</t>
  </si>
  <si>
    <t>Shares outstanding at 12/31/2024</t>
  </si>
  <si>
    <t>2024 Annual Report pdf p.78: shares outstanding at 12/31/2024 = 520,444,261. https://www.smurfitwestrock.com/-/m/files/publications---global/financial-reports/sw-2024-annual-report.pdf?rev=4870ca9e316e43588dd14c35c5247fa3</t>
  </si>
  <si>
    <t>SW closing share price on 12/31/2024 (USD)</t>
  </si>
  <si>
    <t>Historical closing price for SW on 2024-12-31. https://www.macrotrends.net/stocks/charts/SW/smurfit-westrock/stock-price-history</t>
  </si>
  <si>
    <t>Market capitalization (USD millions)</t>
  </si>
  <si>
    <t>Calculated as shares outstanding * year-end closing share price / 1,000,000.</t>
  </si>
  <si>
    <t>SW</t>
  </si>
  <si>
    <t>W</t>
  </si>
  <si>
    <t>Buisness</t>
  </si>
  <si>
    <t>Waste-to-Landfill</t>
  </si>
  <si>
    <t>Waste-to-Energy</t>
  </si>
  <si>
    <t>Total Renewable Energy Consumption</t>
  </si>
  <si>
    <t>Total Training Hours</t>
  </si>
  <si>
    <t>Hours</t>
  </si>
  <si>
    <t>Turnover</t>
  </si>
  <si>
    <t>Total Water Discharges</t>
  </si>
  <si>
    <t>Total BOD Discharged</t>
  </si>
  <si>
    <t>Total COD Discharged</t>
  </si>
  <si>
    <t>m3</t>
  </si>
  <si>
    <t>Scope 2 GHG Emissions (Market-Based)</t>
  </si>
  <si>
    <t>Scope 2 GHG Emissions (Location-Based)</t>
  </si>
  <si>
    <t>Scope 1 GHG Emissions</t>
  </si>
  <si>
    <t>Waste-to-Recovery</t>
  </si>
  <si>
    <t>Other Waste</t>
  </si>
  <si>
    <t>Non-Renewable Energy Consumptio</t>
  </si>
  <si>
    <t>Biogenic CO2 (Total)</t>
  </si>
  <si>
    <t>Total Production</t>
  </si>
  <si>
    <t>Tons</t>
  </si>
  <si>
    <t>Production</t>
  </si>
  <si>
    <t>Hazardous Waste Generated</t>
  </si>
  <si>
    <t>employees</t>
  </si>
  <si>
    <t>Paper Production</t>
  </si>
  <si>
    <t>Packaging Production</t>
  </si>
  <si>
    <t>F</t>
  </si>
  <si>
    <t xml:space="preserve">Total Value
</t>
  </si>
  <si>
    <t>Pillar
(E/S/G/Financial/Performance)</t>
  </si>
  <si>
    <t>Independent Directors</t>
  </si>
  <si>
    <t>Board Average Age</t>
  </si>
  <si>
    <t>Years</t>
  </si>
  <si>
    <t>Compliance</t>
  </si>
  <si>
    <t>Market Capitalization</t>
  </si>
  <si>
    <t>Capital Expenditure</t>
  </si>
  <si>
    <t>N/A</t>
  </si>
  <si>
    <t>Sourcing</t>
  </si>
  <si>
    <t>Used Recovered Fiber</t>
  </si>
  <si>
    <t>Smurfit Westrock 2024 Sustainability Report</t>
  </si>
  <si>
    <t>Smurfit Kappa 2023 Sustainability Report</t>
  </si>
  <si>
    <t>Smurfit Kappa 2022 Sustainability Report</t>
  </si>
  <si>
    <t>Smurfit Kappa 2021 Sustainability Report</t>
  </si>
  <si>
    <t>Smurfit Kappa 2019 Sustainability Report</t>
  </si>
  <si>
    <t>ACCEPTABLE</t>
  </si>
  <si>
    <t>REASONABLE</t>
  </si>
  <si>
    <t>NO ASURANCE</t>
  </si>
  <si>
    <t>Calculated</t>
  </si>
  <si>
    <t>(Unit/$ Revenue)</t>
  </si>
  <si>
    <t>(Unit/$ Market Cap)</t>
  </si>
  <si>
    <t>W Revenue</t>
  </si>
  <si>
    <t>S Revenue</t>
  </si>
  <si>
    <t>Year</t>
  </si>
  <si>
    <t>W Market Cap</t>
  </si>
  <si>
    <t>S Market Cap</t>
  </si>
  <si>
    <t>Column Labels</t>
  </si>
  <si>
    <t>Grand Total</t>
  </si>
  <si>
    <t>Row Labels</t>
  </si>
  <si>
    <t>Sum of (Unit/$ Market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</si>
</sst>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7" formatCode="_(* #,##0_);_(* \(#,##0\);_(* &quot;-&quot;??_);_(@_)"/>
    <numFmt numFmtId="175" formatCode="&quot;$&quot;#,##0"/>
  </numFmts>
  <fonts count="35" x14ac:knownFonts="1">
    <font>
      <sz val="11"/>
      <color theme="1"/>
      <name val="Calibri"/>
      <family val="2"/>
    </font>
    <font>
      <b/>
      <sz val="18"/>
      <color rgb="FFFFFFFF"/>
      <name val="Arial"/>
      <family val="2"/>
    </font>
    <font>
      <sz val="10"/>
      <color rgb="FF0F1A14"/>
      <name val="Arial"/>
      <family val="2"/>
    </font>
    <font>
      <b/>
      <sz val="10"/>
      <color rgb="FFFFFFFF"/>
      <name val="Arial"/>
      <family val="2"/>
    </font>
    <font>
      <b/>
      <sz val="10"/>
      <color rgb="FF1A3D2B"/>
      <name val="Arial"/>
      <family val="2"/>
    </font>
    <font>
      <b/>
      <sz val="10"/>
      <color rgb="FF0F1A14"/>
      <name val="Arial"/>
      <family val="2"/>
    </font>
    <font>
      <b/>
      <sz val="14"/>
      <color rgb="FFFFFFFF"/>
      <name val="Arial"/>
      <family val="2"/>
    </font>
    <font>
      <i/>
      <sz val="10"/>
      <color rgb="FF0000FF"/>
      <name val="Arial"/>
      <family val="2"/>
    </font>
    <font>
      <b/>
      <sz val="9"/>
      <color rgb="FFFFFFFF"/>
      <name val="Arial"/>
      <family val="2"/>
    </font>
    <font>
      <i/>
      <sz val="8"/>
      <color rgb="FF5A6B72"/>
      <name val="Arial"/>
      <family val="2"/>
    </font>
    <font>
      <sz val="9"/>
      <color rgb="FF1A3D2B"/>
      <name val="Arial"/>
      <family val="2"/>
    </font>
    <font>
      <b/>
      <sz val="9"/>
      <color rgb="FF0F1A14"/>
      <name val="Arial"/>
      <family val="2"/>
    </font>
    <font>
      <b/>
      <sz val="10"/>
      <color rgb="FF0000FF"/>
      <name val="Arial"/>
      <family val="2"/>
    </font>
    <font>
      <sz val="9"/>
      <color rgb="FF5A6B72"/>
      <name val="Arial"/>
      <family val="2"/>
    </font>
    <font>
      <sz val="10"/>
      <color rgb="FF0000FF"/>
      <name val="Arial"/>
      <family val="2"/>
    </font>
    <font>
      <sz val="9"/>
      <color rgb="FF0000FF"/>
      <name val="Arial"/>
      <family val="2"/>
    </font>
    <font>
      <b/>
      <sz val="11"/>
      <color rgb="FF0F1A14"/>
      <name val="Arial"/>
      <family val="2"/>
    </font>
    <font>
      <i/>
      <sz val="9"/>
      <color rgb="FF5A6B72"/>
      <name val="Arial"/>
      <family val="2"/>
    </font>
    <font>
      <b/>
      <sz val="13"/>
      <color rgb="FFFFFFFF"/>
      <name val="Arial"/>
      <family val="2"/>
    </font>
    <font>
      <i/>
      <sz val="9"/>
      <color rgb="FF1A3D2B"/>
      <name val="Arial"/>
      <family val="2"/>
    </font>
    <font>
      <b/>
      <sz val="11"/>
      <color rgb="FFFFFFFF"/>
      <name val="Arial"/>
      <family val="2"/>
    </font>
    <font>
      <b/>
      <sz val="9"/>
      <color rgb="FF1A3D2B"/>
      <name val="Arial"/>
      <family val="2"/>
    </font>
    <font>
      <sz val="9"/>
      <color rgb="FF0F1A14"/>
      <name val="Arial"/>
      <family val="2"/>
    </font>
    <font>
      <b/>
      <sz val="12"/>
      <color rgb="FF0000FF"/>
      <name val="Arial"/>
      <family val="2"/>
    </font>
    <font>
      <i/>
      <sz val="9"/>
      <color rgb="FF856404"/>
      <name val="Arial"/>
      <family val="2"/>
    </font>
    <font>
      <i/>
      <sz val="9"/>
      <color rgb="FF0000FF"/>
      <name val="Arial"/>
      <family val="2"/>
    </font>
    <font>
      <b/>
      <sz val="11"/>
      <color rgb="FF1A3D2B"/>
      <name val="Arial"/>
      <family val="2"/>
    </font>
    <font>
      <b/>
      <sz val="10"/>
      <color theme="1"/>
      <name val="Arial"/>
      <family val="2"/>
    </font>
    <font>
      <b/>
      <sz val="9"/>
      <color rgb="FFE8A020"/>
      <name val="Arial"/>
      <family val="2"/>
    </font>
    <font>
      <b/>
      <sz val="16"/>
      <color rgb="FFFFFFFF"/>
      <name val="Arial"/>
      <family val="2"/>
    </font>
    <font>
      <u/>
      <sz val="11"/>
      <color theme="10"/>
      <name val="Calibri"/>
      <family val="2"/>
    </font>
    <font>
      <sz val="11"/>
      <color theme="1"/>
      <name val="Calibri"/>
      <family val="2"/>
    </font>
    <font>
      <b/>
      <sz val="10"/>
      <color rgb="FF000000"/>
      <name val="Arial"/>
      <family val="2"/>
    </font>
    <font>
      <sz val="10"/>
      <name val="Arial"/>
      <family val="2"/>
    </font>
    <font>
      <b/>
      <sz val="9"/>
      <color theme="1"/>
      <name val="Arial"/>
      <family val="2"/>
    </font>
  </fonts>
  <fills count="28">
    <fill>
      <patternFill patternType="none"/>
    </fill>
    <fill>
      <patternFill patternType="gray125"/>
    </fill>
    <fill>
      <patternFill patternType="solid">
        <fgColor rgb="FF1A3D2B"/>
      </patternFill>
    </fill>
    <fill>
      <patternFill patternType="solid">
        <fgColor rgb="FF4A7C59"/>
      </patternFill>
    </fill>
    <fill>
      <patternFill patternType="solid">
        <fgColor rgb="FFD4EDDA"/>
      </patternFill>
    </fill>
    <fill>
      <patternFill patternType="solid">
        <fgColor rgb="FFFFF3CD"/>
      </patternFill>
    </fill>
    <fill>
      <patternFill patternType="solid">
        <fgColor rgb="FFFFDAD6"/>
      </patternFill>
    </fill>
    <fill>
      <patternFill patternType="solid">
        <fgColor rgb="FFDFF0E5"/>
      </patternFill>
    </fill>
    <fill>
      <patternFill patternType="solid">
        <fgColor rgb="FF2E7D4F"/>
      </patternFill>
    </fill>
    <fill>
      <patternFill patternType="solid">
        <fgColor rgb="FFFFFFFF"/>
      </patternFill>
    </fill>
    <fill>
      <patternFill patternType="solid">
        <fgColor rgb="FFF8FBF9"/>
      </patternFill>
    </fill>
    <fill>
      <patternFill patternType="solid">
        <fgColor rgb="FF1565C0"/>
      </patternFill>
    </fill>
    <fill>
      <patternFill patternType="solid">
        <fgColor rgb="FF8B1A1A"/>
      </patternFill>
    </fill>
    <fill>
      <patternFill patternType="solid">
        <fgColor rgb="FFF2F2F2"/>
      </patternFill>
    </fill>
    <fill>
      <patternFill patternType="solid">
        <fgColor rgb="FF2D2D2D"/>
      </patternFill>
    </fill>
    <fill>
      <patternFill patternType="solid">
        <fgColor rgb="FFD0E8FF"/>
      </patternFill>
    </fill>
    <fill>
      <patternFill patternType="solid">
        <fgColor rgb="FFFFE0E0"/>
      </patternFill>
    </fill>
    <fill>
      <patternFill patternType="solid">
        <fgColor rgb="FFFFE8D0"/>
      </patternFill>
    </fill>
    <fill>
      <patternFill patternType="solid">
        <fgColor rgb="FFF0E0FF"/>
      </patternFill>
    </fill>
    <fill>
      <patternFill patternType="solid">
        <fgColor theme="4" tint="-0.249977111117893"/>
        <bgColor indexed="65"/>
      </patternFill>
    </fill>
    <fill>
      <patternFill patternType="solid">
        <fgColor theme="1"/>
      </patternFill>
    </fill>
    <fill>
      <patternFill patternType="solid">
        <fgColor theme="0"/>
      </patternFill>
    </fill>
    <fill>
      <patternFill patternType="solid">
        <fgColor rgb="FFFFF3CD"/>
        <bgColor rgb="FFFFE8D0"/>
      </patternFill>
    </fill>
    <fill>
      <patternFill patternType="solid">
        <fgColor rgb="FFFFE0E0"/>
        <bgColor rgb="FFFFDAD6"/>
      </patternFill>
    </fill>
    <fill>
      <patternFill patternType="solid">
        <fgColor rgb="FFFFDAD6"/>
        <bgColor rgb="FFFFE0E0"/>
      </patternFill>
    </fill>
    <fill>
      <patternFill patternType="solid">
        <fgColor rgb="FFFFF3CD"/>
        <bgColor rgb="FF000000"/>
      </patternFill>
    </fill>
    <fill>
      <patternFill patternType="solid">
        <fgColor rgb="FFD8D8D8"/>
        <bgColor indexed="64"/>
      </patternFill>
    </fill>
    <fill>
      <patternFill patternType="solid">
        <fgColor theme="0" tint="-4.9989318521683403E-2"/>
        <bgColor indexed="64"/>
      </patternFill>
    </fill>
  </fills>
  <borders count="9">
    <border>
      <left/>
      <right/>
      <top/>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diagonal/>
    </border>
    <border>
      <left/>
      <right/>
      <top/>
      <bottom style="thin">
        <color rgb="FFD0D0D0"/>
      </bottom>
      <diagonal/>
    </border>
    <border>
      <left/>
      <right/>
      <top style="thin">
        <color rgb="FFD0D0D0"/>
      </top>
      <bottom/>
      <diagonal/>
    </border>
    <border>
      <left style="thin">
        <color rgb="FFD0D0D0"/>
      </left>
      <right/>
      <top/>
      <bottom/>
      <diagonal/>
    </border>
    <border>
      <left style="thin">
        <color rgb="FFD0D0D0"/>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30" fillId="0" borderId="0"/>
    <xf numFmtId="9" fontId="31" fillId="0" borderId="0" applyFont="0" applyFill="0" applyBorder="0" applyAlignment="0" applyProtection="0"/>
    <xf numFmtId="43" fontId="31" fillId="0" borderId="0" applyFont="0" applyFill="0" applyBorder="0" applyAlignment="0" applyProtection="0"/>
    <xf numFmtId="0" fontId="33" fillId="26" borderId="0"/>
  </cellStyleXfs>
  <cellXfs count="141">
    <xf numFmtId="0" fontId="0" fillId="0" borderId="0" xfId="0"/>
    <xf numFmtId="0" fontId="2" fillId="0" borderId="0" xfId="0" applyFont="1"/>
    <xf numFmtId="0" fontId="2" fillId="0" borderId="0" xfId="0" applyFont="1" applyAlignment="1">
      <alignment horizontal="left" vertical="center" wrapText="1"/>
    </xf>
    <xf numFmtId="0" fontId="3" fillId="2" borderId="0" xfId="0" applyFont="1" applyFill="1" applyAlignment="1">
      <alignment horizontal="left" vertical="center"/>
    </xf>
    <xf numFmtId="0" fontId="4" fillId="0" borderId="0" xfId="0" applyFont="1"/>
    <xf numFmtId="0" fontId="5" fillId="4" borderId="0" xfId="0" applyFont="1" applyFill="1"/>
    <xf numFmtId="0" fontId="2" fillId="4" borderId="0" xfId="0" applyFont="1" applyFill="1"/>
    <xf numFmtId="0" fontId="5" fillId="5" borderId="0" xfId="0" applyFont="1" applyFill="1"/>
    <xf numFmtId="0" fontId="2" fillId="5" borderId="0" xfId="0" applyFont="1" applyFill="1"/>
    <xf numFmtId="0" fontId="5" fillId="6" borderId="0" xfId="0" applyFont="1" applyFill="1"/>
    <xf numFmtId="0" fontId="2" fillId="6" borderId="0" xfId="0" applyFont="1" applyFill="1"/>
    <xf numFmtId="0" fontId="8" fillId="2"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8" borderId="1" xfId="0" applyFont="1" applyFill="1" applyBorder="1" applyAlignment="1">
      <alignment horizontal="center" vertical="center"/>
    </xf>
    <xf numFmtId="0" fontId="10" fillId="9" borderId="1" xfId="0" applyFont="1" applyFill="1" applyBorder="1" applyAlignment="1">
      <alignment horizontal="left" vertical="center"/>
    </xf>
    <xf numFmtId="0" fontId="11" fillId="9" borderId="1" xfId="0" applyFont="1" applyFill="1" applyBorder="1" applyAlignment="1">
      <alignment horizontal="left" vertical="center" wrapText="1"/>
    </xf>
    <xf numFmtId="0" fontId="12" fillId="5" borderId="1" xfId="0" applyFont="1" applyFill="1" applyBorder="1" applyAlignment="1">
      <alignment horizontal="center" vertical="center"/>
    </xf>
    <xf numFmtId="0" fontId="13" fillId="9" borderId="1" xfId="0" applyFont="1" applyFill="1" applyBorder="1" applyAlignment="1">
      <alignment horizontal="center" vertical="center"/>
    </xf>
    <xf numFmtId="0" fontId="14" fillId="5" borderId="1" xfId="0" applyFont="1" applyFill="1" applyBorder="1" applyAlignment="1">
      <alignment horizontal="center" vertical="center"/>
    </xf>
    <xf numFmtId="0" fontId="15" fillId="5" borderId="1" xfId="0" applyFont="1" applyFill="1" applyBorder="1" applyAlignment="1">
      <alignment horizontal="left" vertical="center"/>
    </xf>
    <xf numFmtId="0" fontId="16" fillId="9" borderId="1" xfId="0" applyFont="1" applyFill="1" applyBorder="1" applyAlignment="1">
      <alignment horizontal="center" vertical="center"/>
    </xf>
    <xf numFmtId="0" fontId="17" fillId="5" borderId="1" xfId="0" applyFont="1" applyFill="1" applyBorder="1" applyAlignment="1">
      <alignment horizontal="left" vertical="center" wrapText="1"/>
    </xf>
    <xf numFmtId="0" fontId="10" fillId="10" borderId="1" xfId="0" applyFont="1" applyFill="1" applyBorder="1" applyAlignment="1">
      <alignment horizontal="left" vertical="center"/>
    </xf>
    <xf numFmtId="0" fontId="11" fillId="10" borderId="1" xfId="0" applyFont="1" applyFill="1" applyBorder="1" applyAlignment="1">
      <alignment horizontal="left" vertical="center" wrapText="1"/>
    </xf>
    <xf numFmtId="0" fontId="13" fillId="10" borderId="1" xfId="0" applyFont="1" applyFill="1" applyBorder="1" applyAlignment="1">
      <alignment horizontal="center" vertical="center"/>
    </xf>
    <xf numFmtId="0" fontId="8" fillId="11" borderId="1" xfId="0" applyFont="1" applyFill="1" applyBorder="1" applyAlignment="1">
      <alignment horizontal="center" vertical="center"/>
    </xf>
    <xf numFmtId="0" fontId="8" fillId="12" borderId="1" xfId="0" applyFont="1" applyFill="1" applyBorder="1" applyAlignment="1">
      <alignment horizontal="center" vertical="center"/>
    </xf>
    <xf numFmtId="0" fontId="21" fillId="9" borderId="1" xfId="0" applyFont="1" applyFill="1" applyBorder="1" applyAlignment="1">
      <alignment horizontal="left" vertical="center"/>
    </xf>
    <xf numFmtId="0" fontId="14" fillId="5" borderId="1" xfId="0" applyFont="1" applyFill="1" applyBorder="1" applyAlignment="1">
      <alignment horizontal="left" vertical="center" wrapText="1"/>
    </xf>
    <xf numFmtId="164" fontId="5" fillId="9" borderId="1" xfId="0" applyNumberFormat="1" applyFont="1" applyFill="1" applyBorder="1" applyAlignment="1">
      <alignment horizontal="left" vertical="center" wrapText="1"/>
    </xf>
    <xf numFmtId="0" fontId="21" fillId="13" borderId="1" xfId="0" applyFont="1" applyFill="1" applyBorder="1" applyAlignment="1">
      <alignment horizontal="left" vertical="center"/>
    </xf>
    <xf numFmtId="0" fontId="13" fillId="13"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22" fillId="13" borderId="1" xfId="0" applyFont="1" applyFill="1" applyBorder="1" applyAlignment="1">
      <alignment horizontal="left" vertical="center"/>
    </xf>
    <xf numFmtId="0" fontId="23" fillId="5" borderId="1" xfId="0" applyFont="1" applyFill="1" applyBorder="1" applyAlignment="1">
      <alignment horizontal="center" vertical="center"/>
    </xf>
    <xf numFmtId="0" fontId="22" fillId="9" borderId="1" xfId="0" applyFont="1" applyFill="1" applyBorder="1" applyAlignment="1">
      <alignment horizontal="left" vertical="center"/>
    </xf>
    <xf numFmtId="0" fontId="24" fillId="5" borderId="0" xfId="0" applyFont="1" applyFill="1" applyAlignment="1">
      <alignment horizontal="left" vertical="center" wrapText="1"/>
    </xf>
    <xf numFmtId="0" fontId="8" fillId="3" borderId="1" xfId="0" applyFont="1" applyFill="1" applyBorder="1" applyAlignment="1">
      <alignment horizontal="center" vertical="center"/>
    </xf>
    <xf numFmtId="0" fontId="5" fillId="4" borderId="1" xfId="0" applyFont="1" applyFill="1" applyBorder="1"/>
    <xf numFmtId="0" fontId="2" fillId="4" borderId="1" xfId="0" applyFont="1" applyFill="1" applyBorder="1" applyAlignment="1">
      <alignment horizontal="center" vertical="center"/>
    </xf>
    <xf numFmtId="165" fontId="2" fillId="4" borderId="1" xfId="0" applyNumberFormat="1" applyFont="1" applyFill="1" applyBorder="1" applyAlignment="1">
      <alignment horizontal="center" vertical="center"/>
    </xf>
    <xf numFmtId="0" fontId="5" fillId="15" borderId="1" xfId="0" applyFont="1" applyFill="1" applyBorder="1"/>
    <xf numFmtId="0" fontId="2" fillId="15" borderId="1" xfId="0" applyFont="1" applyFill="1" applyBorder="1" applyAlignment="1">
      <alignment horizontal="center" vertical="center"/>
    </xf>
    <xf numFmtId="0" fontId="5" fillId="16" borderId="1" xfId="0" applyFont="1" applyFill="1" applyBorder="1"/>
    <xf numFmtId="0" fontId="2" fillId="16" borderId="1" xfId="0" applyFont="1" applyFill="1" applyBorder="1" applyAlignment="1">
      <alignment horizontal="center" vertical="center"/>
    </xf>
    <xf numFmtId="0" fontId="5" fillId="13" borderId="1" xfId="0" applyFont="1" applyFill="1" applyBorder="1"/>
    <xf numFmtId="0" fontId="2" fillId="13" borderId="1" xfId="0" applyFont="1" applyFill="1" applyBorder="1" applyAlignment="1">
      <alignment horizontal="center" vertical="center"/>
    </xf>
    <xf numFmtId="0" fontId="5" fillId="7" borderId="1" xfId="0" applyFont="1" applyFill="1" applyBorder="1"/>
    <xf numFmtId="0" fontId="2" fillId="7" borderId="1" xfId="0" applyFont="1" applyFill="1" applyBorder="1" applyAlignment="1">
      <alignment horizontal="center" vertical="center"/>
    </xf>
    <xf numFmtId="165" fontId="2" fillId="7" borderId="1" xfId="0" applyNumberFormat="1" applyFont="1" applyFill="1" applyBorder="1" applyAlignment="1">
      <alignment horizontal="center" vertical="center"/>
    </xf>
    <xf numFmtId="0" fontId="25" fillId="6" borderId="1" xfId="0" applyFont="1" applyFill="1" applyBorder="1" applyAlignment="1">
      <alignment horizontal="left" vertical="center"/>
    </xf>
    <xf numFmtId="0" fontId="4" fillId="4" borderId="1" xfId="0" applyFont="1" applyFill="1" applyBorder="1" applyAlignment="1">
      <alignment horizontal="left" vertical="center" wrapText="1"/>
    </xf>
    <xf numFmtId="0" fontId="22" fillId="4" borderId="1" xfId="0" applyFont="1" applyFill="1" applyBorder="1" applyAlignment="1">
      <alignment horizontal="left" vertical="center" wrapText="1"/>
    </xf>
    <xf numFmtId="0" fontId="4" fillId="15" borderId="1" xfId="0" applyFont="1" applyFill="1" applyBorder="1" applyAlignment="1">
      <alignment horizontal="left" vertical="center" wrapText="1"/>
    </xf>
    <xf numFmtId="0" fontId="22" fillId="15"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22" fillId="17" borderId="1" xfId="0" applyFont="1" applyFill="1" applyBorder="1" applyAlignment="1">
      <alignment horizontal="left" vertical="center" wrapText="1"/>
    </xf>
    <xf numFmtId="0" fontId="26" fillId="17" borderId="1" xfId="0" applyFont="1" applyFill="1" applyBorder="1" applyAlignment="1">
      <alignment horizontal="center" vertical="center"/>
    </xf>
    <xf numFmtId="0" fontId="4" fillId="18" borderId="1" xfId="0" applyFont="1" applyFill="1" applyBorder="1" applyAlignment="1">
      <alignment horizontal="left" vertical="center" wrapText="1"/>
    </xf>
    <xf numFmtId="0" fontId="22" fillId="18" borderId="1" xfId="0" applyFont="1" applyFill="1" applyBorder="1" applyAlignment="1">
      <alignment horizontal="left" vertical="center" wrapText="1"/>
    </xf>
    <xf numFmtId="0" fontId="26" fillId="18" borderId="1" xfId="0" applyFont="1" applyFill="1" applyBorder="1" applyAlignment="1">
      <alignment horizontal="center" vertical="center"/>
    </xf>
    <xf numFmtId="0" fontId="11" fillId="13" borderId="1" xfId="0" applyFont="1" applyFill="1" applyBorder="1" applyAlignment="1">
      <alignment horizontal="left" vertical="center" wrapText="1"/>
    </xf>
    <xf numFmtId="0" fontId="22" fillId="13" borderId="1" xfId="0" applyFont="1" applyFill="1" applyBorder="1" applyAlignment="1">
      <alignment horizontal="left" vertical="center" wrapText="1"/>
    </xf>
    <xf numFmtId="0" fontId="22" fillId="9" borderId="1" xfId="0" applyFont="1" applyFill="1" applyBorder="1" applyAlignment="1">
      <alignment horizontal="left" vertical="center" wrapText="1"/>
    </xf>
    <xf numFmtId="0" fontId="7" fillId="7" borderId="0" xfId="0" applyFont="1" applyFill="1" applyAlignment="1">
      <alignment vertical="center"/>
    </xf>
    <xf numFmtId="0" fontId="26" fillId="4" borderId="1" xfId="0" applyFont="1" applyFill="1" applyBorder="1" applyAlignment="1">
      <alignment horizontal="center" vertical="center"/>
    </xf>
    <xf numFmtId="0" fontId="26" fillId="15" borderId="1" xfId="0" applyFont="1" applyFill="1" applyBorder="1" applyAlignment="1">
      <alignment horizontal="center" vertical="center"/>
    </xf>
    <xf numFmtId="0" fontId="3" fillId="21" borderId="0" xfId="0" applyFont="1" applyFill="1" applyAlignment="1">
      <alignment vertical="center"/>
    </xf>
    <xf numFmtId="0" fontId="30" fillId="9" borderId="1" xfId="1" applyFill="1" applyBorder="1" applyAlignment="1">
      <alignment horizontal="left" vertical="center"/>
    </xf>
    <xf numFmtId="0" fontId="30" fillId="13" borderId="1" xfId="1" applyFill="1" applyBorder="1" applyAlignment="1">
      <alignment horizontal="left" vertical="center"/>
    </xf>
    <xf numFmtId="0" fontId="7" fillId="7" borderId="0" xfId="0" applyFont="1" applyFill="1" applyAlignment="1">
      <alignment horizontal="right" vertical="center"/>
    </xf>
    <xf numFmtId="0" fontId="15" fillId="5" borderId="1" xfId="0" applyFont="1" applyFill="1" applyBorder="1" applyAlignment="1">
      <alignment horizontal="left" vertical="center" wrapText="1"/>
    </xf>
    <xf numFmtId="0" fontId="0" fillId="0" borderId="0" xfId="0" applyAlignment="1">
      <alignment vertical="center" wrapText="1"/>
    </xf>
    <xf numFmtId="3" fontId="27" fillId="5" borderId="1" xfId="0" applyNumberFormat="1" applyFont="1" applyFill="1" applyBorder="1" applyAlignment="1">
      <alignment horizontal="center" vertical="center"/>
    </xf>
    <xf numFmtId="3" fontId="12" fillId="5" borderId="1" xfId="0" applyNumberFormat="1" applyFont="1" applyFill="1" applyBorder="1" applyAlignment="1">
      <alignment horizontal="center" vertical="center"/>
    </xf>
    <xf numFmtId="0" fontId="22" fillId="13" borderId="1" xfId="0" applyFont="1" applyFill="1" applyBorder="1" applyAlignment="1">
      <alignment horizontal="left" vertical="top" wrapText="1"/>
    </xf>
    <xf numFmtId="0" fontId="0" fillId="0" borderId="0" xfId="0" applyAlignment="1">
      <alignment vertical="top" wrapText="1"/>
    </xf>
    <xf numFmtId="0" fontId="23" fillId="5" borderId="1" xfId="0" applyFont="1" applyFill="1" applyBorder="1" applyAlignment="1">
      <alignment horizontal="center" vertical="top" wrapText="1"/>
    </xf>
    <xf numFmtId="0" fontId="15" fillId="5" borderId="1" xfId="0" applyFont="1" applyFill="1" applyBorder="1" applyAlignment="1">
      <alignment horizontal="left" vertical="top" wrapText="1"/>
    </xf>
    <xf numFmtId="0" fontId="22" fillId="9" borderId="1" xfId="0" applyFont="1" applyFill="1" applyBorder="1" applyAlignment="1">
      <alignment horizontal="left" vertical="top" wrapText="1"/>
    </xf>
    <xf numFmtId="0" fontId="22" fillId="10" borderId="1" xfId="0" applyFont="1" applyFill="1" applyBorder="1" applyAlignment="1">
      <alignment horizontal="left" vertical="top" wrapText="1"/>
    </xf>
    <xf numFmtId="0" fontId="11" fillId="9" borderId="1" xfId="0" applyFont="1" applyFill="1" applyBorder="1" applyAlignment="1">
      <alignment horizontal="left" vertical="top" wrapText="1"/>
    </xf>
    <xf numFmtId="0" fontId="17" fillId="5" borderId="1" xfId="0" applyFont="1" applyFill="1" applyBorder="1" applyAlignment="1">
      <alignment horizontal="left" vertical="top" wrapText="1"/>
    </xf>
    <xf numFmtId="0" fontId="10" fillId="10" borderId="1" xfId="0" applyFont="1" applyFill="1" applyBorder="1" applyAlignment="1">
      <alignment horizontal="left" vertical="center" wrapText="1"/>
    </xf>
    <xf numFmtId="0" fontId="12" fillId="22" borderId="1" xfId="0" applyFont="1" applyFill="1" applyBorder="1" applyAlignment="1">
      <alignment horizontal="center" vertical="center"/>
    </xf>
    <xf numFmtId="9" fontId="12" fillId="22" borderId="1" xfId="2" applyFont="1" applyFill="1" applyBorder="1" applyAlignment="1">
      <alignment horizontal="center" vertical="center"/>
    </xf>
    <xf numFmtId="0" fontId="25" fillId="23" borderId="1" xfId="0" applyFont="1" applyFill="1" applyBorder="1" applyAlignment="1">
      <alignment horizontal="left" vertical="center"/>
    </xf>
    <xf numFmtId="0" fontId="25" fillId="24" borderId="1" xfId="0" applyFont="1" applyFill="1" applyBorder="1" applyAlignment="1">
      <alignment horizontal="left" vertical="center"/>
    </xf>
    <xf numFmtId="0" fontId="11" fillId="10" borderId="1" xfId="0" applyFont="1" applyFill="1" applyBorder="1" applyAlignment="1">
      <alignment horizontal="left" vertical="top" wrapText="1"/>
    </xf>
    <xf numFmtId="0" fontId="15" fillId="5" borderId="1" xfId="0" applyFont="1" applyFill="1" applyBorder="1" applyAlignment="1">
      <alignment horizontal="center" vertical="center"/>
    </xf>
    <xf numFmtId="0" fontId="11" fillId="9" borderId="1" xfId="0" applyFont="1" applyFill="1" applyBorder="1" applyAlignment="1">
      <alignment horizontal="left" vertical="center"/>
    </xf>
    <xf numFmtId="0" fontId="12" fillId="22" borderId="1" xfId="0" applyFont="1" applyFill="1" applyBorder="1" applyAlignment="1">
      <alignment horizontal="right" vertical="center"/>
    </xf>
    <xf numFmtId="9" fontId="12" fillId="22" borderId="1" xfId="0" applyNumberFormat="1" applyFont="1" applyFill="1" applyBorder="1" applyAlignment="1">
      <alignment horizontal="right" vertical="center"/>
    </xf>
    <xf numFmtId="167" fontId="12" fillId="22" borderId="1" xfId="3" applyNumberFormat="1" applyFont="1" applyFill="1" applyBorder="1" applyAlignment="1">
      <alignment horizontal="right" vertical="center"/>
    </xf>
    <xf numFmtId="43" fontId="12" fillId="22" borderId="1" xfId="3" applyFont="1" applyFill="1" applyBorder="1" applyAlignment="1">
      <alignment horizontal="right" vertical="center"/>
    </xf>
    <xf numFmtId="164" fontId="12" fillId="22" borderId="1" xfId="0" applyNumberFormat="1" applyFont="1" applyFill="1" applyBorder="1" applyAlignment="1">
      <alignment horizontal="right" vertical="center"/>
    </xf>
    <xf numFmtId="1" fontId="12" fillId="22" borderId="1" xfId="0" applyNumberFormat="1" applyFont="1" applyFill="1" applyBorder="1" applyAlignment="1">
      <alignment horizontal="right" vertical="center"/>
    </xf>
    <xf numFmtId="3" fontId="32" fillId="25" borderId="1" xfId="0" applyNumberFormat="1" applyFont="1" applyFill="1" applyBorder="1" applyAlignment="1">
      <alignment horizontal="center" vertical="center"/>
    </xf>
    <xf numFmtId="0" fontId="8" fillId="2" borderId="8" xfId="0" applyFont="1" applyFill="1" applyBorder="1" applyAlignment="1">
      <alignment horizontal="center" vertical="center" wrapText="1"/>
    </xf>
    <xf numFmtId="0" fontId="21" fillId="0" borderId="0" xfId="0" applyFont="1"/>
    <xf numFmtId="0" fontId="3" fillId="2" borderId="0" xfId="0" applyFont="1" applyFill="1" applyAlignment="1">
      <alignment horizontal="center"/>
    </xf>
    <xf numFmtId="0" fontId="6" fillId="2" borderId="0" xfId="0" applyFont="1" applyFill="1" applyAlignment="1">
      <alignment horizontal="left" vertical="center"/>
    </xf>
    <xf numFmtId="0" fontId="0" fillId="0" borderId="0" xfId="0"/>
    <xf numFmtId="0" fontId="3" fillId="3" borderId="0" xfId="0" applyFont="1" applyFill="1" applyAlignment="1">
      <alignment horizontal="left" vertical="center"/>
    </xf>
    <xf numFmtId="0" fontId="1" fillId="20" borderId="0" xfId="0" applyFont="1" applyFill="1" applyAlignment="1">
      <alignment horizontal="center" vertical="center"/>
    </xf>
    <xf numFmtId="0" fontId="3" fillId="2" borderId="0" xfId="0" applyFont="1" applyFill="1" applyAlignment="1">
      <alignment horizontal="left" vertical="center"/>
    </xf>
    <xf numFmtId="0" fontId="15" fillId="5" borderId="0" xfId="0" applyFont="1" applyFill="1"/>
    <xf numFmtId="0" fontId="6" fillId="2" borderId="0" xfId="0" applyFont="1" applyFill="1" applyAlignment="1">
      <alignment horizontal="center" vertical="center"/>
    </xf>
    <xf numFmtId="0" fontId="6" fillId="19" borderId="0" xfId="0" applyFont="1" applyFill="1" applyAlignment="1">
      <alignment horizontal="center" vertical="center"/>
    </xf>
    <xf numFmtId="0" fontId="19" fillId="7" borderId="0" xfId="0" applyFont="1" applyFill="1" applyAlignment="1">
      <alignment horizontal="left" vertical="center"/>
    </xf>
    <xf numFmtId="0" fontId="18" fillId="2" borderId="0" xfId="0" applyFont="1" applyFill="1" applyAlignment="1">
      <alignment horizontal="center" vertical="center"/>
    </xf>
    <xf numFmtId="0" fontId="12" fillId="5" borderId="0" xfId="0" applyFont="1" applyFill="1"/>
    <xf numFmtId="0" fontId="7" fillId="5" borderId="2" xfId="0" applyFont="1" applyFill="1" applyBorder="1" applyAlignment="1">
      <alignment horizontal="left" vertical="top" wrapText="1"/>
    </xf>
    <xf numFmtId="0" fontId="0" fillId="0" borderId="4" xfId="0" applyBorder="1"/>
    <xf numFmtId="0" fontId="0" fillId="0" borderId="5" xfId="0" applyBorder="1"/>
    <xf numFmtId="0" fontId="20" fillId="11" borderId="0" xfId="0" applyFont="1" applyFill="1" applyAlignment="1">
      <alignment horizontal="left" vertical="center"/>
    </xf>
    <xf numFmtId="0" fontId="20" fillId="12" borderId="0" xfId="0" applyFont="1" applyFill="1" applyAlignment="1">
      <alignment horizontal="left" vertical="center"/>
    </xf>
    <xf numFmtId="0" fontId="28" fillId="14" borderId="0" xfId="0" applyFont="1" applyFill="1" applyAlignment="1">
      <alignment horizontal="left" vertical="center"/>
    </xf>
    <xf numFmtId="0" fontId="20" fillId="8" borderId="0" xfId="0" applyFont="1" applyFill="1" applyAlignment="1">
      <alignment horizontal="left" vertical="center"/>
    </xf>
    <xf numFmtId="0" fontId="29" fillId="2" borderId="0" xfId="0" applyFont="1" applyFill="1" applyAlignment="1">
      <alignment horizontal="left" vertical="center"/>
    </xf>
    <xf numFmtId="0" fontId="25" fillId="24" borderId="6" xfId="0" applyFont="1" applyFill="1" applyBorder="1" applyAlignment="1">
      <alignment horizontal="center" vertical="center" wrapText="1"/>
    </xf>
    <xf numFmtId="0" fontId="25" fillId="24" borderId="7" xfId="0" applyFont="1" applyFill="1" applyBorder="1" applyAlignment="1">
      <alignment horizontal="center" vertical="center" wrapText="1"/>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0" fillId="0" borderId="0" xfId="0" applyAlignment="1">
      <alignment horizontal="center"/>
    </xf>
    <xf numFmtId="0" fontId="3" fillId="3" borderId="0" xfId="0" applyFont="1" applyFill="1" applyAlignment="1">
      <alignment horizontal="center" vertical="center"/>
    </xf>
    <xf numFmtId="0" fontId="3" fillId="3" borderId="3" xfId="0" applyFont="1" applyFill="1" applyBorder="1" applyAlignment="1">
      <alignment horizontal="center" vertical="center"/>
    </xf>
    <xf numFmtId="0" fontId="0" fillId="0" borderId="3" xfId="0" applyBorder="1"/>
    <xf numFmtId="175" fontId="27" fillId="5" borderId="1" xfId="0" applyNumberFormat="1" applyFont="1" applyFill="1" applyBorder="1" applyAlignment="1">
      <alignment horizontal="center" vertical="center"/>
    </xf>
    <xf numFmtId="165" fontId="12" fillId="22" borderId="1" xfId="2" applyNumberFormat="1" applyFont="1" applyFill="1" applyBorder="1" applyAlignment="1">
      <alignment horizontal="center" vertical="center"/>
    </xf>
    <xf numFmtId="0" fontId="21" fillId="9" borderId="1" xfId="0" applyFont="1" applyFill="1" applyBorder="1" applyAlignment="1">
      <alignment horizontal="left" vertical="center" wrapText="1"/>
    </xf>
    <xf numFmtId="0" fontId="0" fillId="0" borderId="0" xfId="0" applyAlignment="1">
      <alignment wrapText="1"/>
    </xf>
    <xf numFmtId="164" fontId="27" fillId="5" borderId="1" xfId="2" applyNumberFormat="1" applyFont="1" applyFill="1" applyBorder="1" applyAlignment="1">
      <alignment horizontal="center" vertical="center"/>
    </xf>
    <xf numFmtId="0" fontId="15" fillId="22" borderId="1" xfId="0" applyFont="1" applyFill="1" applyBorder="1" applyAlignment="1">
      <alignment horizontal="left" vertical="center"/>
    </xf>
    <xf numFmtId="0" fontId="34" fillId="27" borderId="1" xfId="0" applyFont="1" applyFill="1" applyBorder="1" applyAlignment="1">
      <alignment horizontal="center" vertical="center"/>
    </xf>
    <xf numFmtId="2" fontId="0" fillId="0" borderId="8"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8" xfId="2" applyFont="1" applyBorder="1"/>
    <xf numFmtId="2" fontId="0" fillId="0" borderId="0" xfId="0" applyNumberFormat="1"/>
  </cellXfs>
  <cellStyles count="5">
    <cellStyle name="Comma" xfId="3" builtinId="3"/>
    <cellStyle name="fa_grey_background" xfId="4" xr:uid="{B98BA516-C190-D347-A664-F9ED6DE48312}"/>
    <cellStyle name="Hyperlink" xfId="1" xr:uid="{00000000-0005-0000-0000-000001000000}"/>
    <cellStyle name="Normal" xfId="0" builtinId="0"/>
    <cellStyle name="Percent" xfId="2" builtinId="5"/>
  </cellStyles>
  <dxfs count="20">
    <dxf>
      <numFmt numFmtId="2" formatCode="0.00"/>
    </dxf>
    <dxf>
      <numFmt numFmtId="2" formatCode="0.00"/>
    </dxf>
    <dxf>
      <numFmt numFmtId="2" formatCode="0.00"/>
    </dxf>
    <dxf>
      <numFmt numFmtId="2" formatCode="0.00"/>
    </dxf>
    <dxf>
      <numFmt numFmtId="2" formatCode="0.00"/>
    </dxf>
    <dxf>
      <numFmt numFmtId="2" formatCode="0.00"/>
    </dxf>
    <dxf>
      <numFmt numFmtId="180" formatCode="0.000"/>
    </dxf>
    <dxf>
      <numFmt numFmtId="2" formatCode="0.00"/>
    </dxf>
    <dxf>
      <numFmt numFmtId="180" formatCode="0.000"/>
    </dxf>
    <dxf>
      <numFmt numFmtId="179" formatCode="0.0000"/>
    </dxf>
    <dxf>
      <numFmt numFmtId="179" formatCode="0.0000"/>
    </dxf>
    <dxf>
      <numFmt numFmtId="178" formatCode="0.00000"/>
    </dxf>
    <dxf>
      <numFmt numFmtId="178" formatCode="0.00000"/>
    </dxf>
    <dxf>
      <numFmt numFmtId="177" formatCode="0.000000"/>
    </dxf>
    <dxf>
      <numFmt numFmtId="177" formatCode="0.000000"/>
    </dxf>
    <dxf>
      <numFmt numFmtId="176" formatCode="0.0000000"/>
    </dxf>
    <dxf>
      <numFmt numFmtId="176" formatCode="0.0000000"/>
    </dxf>
    <dxf>
      <fill>
        <patternFill>
          <bgColor rgb="FFFFCCCC"/>
        </patternFill>
      </fill>
    </dxf>
    <dxf>
      <fill>
        <patternFill>
          <bgColor rgb="FFFFCCCC"/>
        </patternFill>
      </fill>
    </dxf>
    <dxf>
      <fill>
        <patternFill>
          <bgColor rgb="FFFFCCCC"/>
        </patternFill>
      </fill>
    </dxf>
  </dxfs>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1A5C35"/>
      <rgbColor rgb="FF000080"/>
      <rgbColor rgb="FF856404"/>
      <rgbColor rgb="FF800080"/>
      <rgbColor rgb="FF008080"/>
      <rgbColor rgb="FFA8D5B5"/>
      <rgbColor rgb="FF4A7C59"/>
      <rgbColor rgb="FF9999FF"/>
      <rgbColor rgb="FF6B2D1A"/>
      <rgbColor rgb="FFFFF3CD"/>
      <rgbColor rgb="FFDFF0E5"/>
      <rgbColor rgb="FF660066"/>
      <rgbColor rgb="FFFF8080"/>
      <rgbColor rgb="FF1565C0"/>
      <rgbColor rgb="FFD0D0D0"/>
      <rgbColor rgb="FF000080"/>
      <rgbColor rgb="FFFF00FF"/>
      <rgbColor rgb="FFF8FBF9"/>
      <rgbColor rgb="FF00FFFF"/>
      <rgbColor rgb="FF800080"/>
      <rgbColor rgb="FF800000"/>
      <rgbColor rgb="FF008080"/>
      <rgbColor rgb="FF0000FF"/>
      <rgbColor rgb="FF00CCFF"/>
      <rgbColor rgb="FFD0E8FF"/>
      <rgbColor rgb="FFD4EDDA"/>
      <rgbColor rgb="FFFFE8D0"/>
      <rgbColor rgb="FFF0E0FF"/>
      <rgbColor rgb="FFFFDAD6"/>
      <rgbColor rgb="FFFFE0E0"/>
      <rgbColor rgb="FFFFCCCC"/>
      <rgbColor rgb="FF3366FF"/>
      <rgbColor rgb="FF33CCCC"/>
      <rgbColor rgb="FF99CC00"/>
      <rgbColor rgb="FFFFCC00"/>
      <rgbColor rgb="FFE8A020"/>
      <rgbColor rgb="FFFF6600"/>
      <rgbColor rgb="FF5A6B72"/>
      <rgbColor rgb="FF969696"/>
      <rgbColor rgb="FF1A3D6B"/>
      <rgbColor rgb="FF2E7D4F"/>
      <rgbColor rgb="FF0F1A14"/>
      <rgbColor rgb="FF1A3D2B"/>
      <rgbColor rgb="FF8B1A1A"/>
      <rgbColor rgb="FF555555"/>
      <rgbColor rgb="FF4A4A4A"/>
      <rgbColor rgb="FF2D2D2D"/>
      <rgbColor rgb="00003366"/>
      <rgbColor rgb="00339966"/>
      <rgbColor rgb="00003300"/>
      <rgbColor rgb="00333300"/>
      <rgbColor rgb="00993300"/>
      <rgbColor rgb="00993366"/>
      <rgbColor rgb="00333399"/>
      <rgbColor rgb="00333333"/>
    </indexedColors>
    <mruColors>
      <color rgb="FF2E7D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[05022026 SW Data Inventory.xlsx]Sheet1!PivotTable12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S</c:v>
                </c:pt>
              </c:strCache>
            </c:strRef>
          </c:tx>
          <c:spPr>
            <a:solidFill>
              <a:schemeClr val="accent1"/>
            </a:solidFill>
            <a:ln>
              <a:noFill/>
            </a:ln>
            <a:effectLst/>
          </c:spPr>
          <c:invertIfNegative val="0"/>
          <c:cat>
            <c:multiLvlStrRef>
              <c:f>Sheet1!$A$5:$A$22</c:f>
              <c:multiLvlStrCache>
                <c:ptCount val="13"/>
                <c:lvl>
                  <c:pt idx="0">
                    <c:v>Scope 1 GHG Emissions</c:v>
                  </c:pt>
                  <c:pt idx="1">
                    <c:v>Scope 2 GHG Emissions (Location-Based)</c:v>
                  </c:pt>
                  <c:pt idx="2">
                    <c:v>Scope 2 GHG Emissions (Market-Based)</c:v>
                  </c:pt>
                  <c:pt idx="3">
                    <c:v>Scope 3 GHG Emissions (Total)</c:v>
                  </c:pt>
                  <c:pt idx="4">
                    <c:v>Non-Renewable Energy Consumptio</c:v>
                  </c:pt>
                  <c:pt idx="5">
                    <c:v>Total Energy Consumption</c:v>
                  </c:pt>
                  <c:pt idx="6">
                    <c:v>Total Renewable Energy Consumption</c:v>
                  </c:pt>
                  <c:pt idx="7">
                    <c:v>Used Recovered Fiber</c:v>
                  </c:pt>
                  <c:pt idx="8">
                    <c:v>Hazardous Waste Generated</c:v>
                  </c:pt>
                  <c:pt idx="9">
                    <c:v>Other Waste</c:v>
                  </c:pt>
                  <c:pt idx="10">
                    <c:v>Waste-to-Energy</c:v>
                  </c:pt>
                  <c:pt idx="11">
                    <c:v>Waste-to-Landfill</c:v>
                  </c:pt>
                  <c:pt idx="12">
                    <c:v>Waste-to-Recovery</c:v>
                  </c:pt>
                </c:lvl>
                <c:lvl>
                  <c:pt idx="0">
                    <c:v>Carbon</c:v>
                  </c:pt>
                  <c:pt idx="4">
                    <c:v>Energy</c:v>
                  </c:pt>
                  <c:pt idx="7">
                    <c:v>Sourcing</c:v>
                  </c:pt>
                  <c:pt idx="8">
                    <c:v>Waste</c:v>
                  </c:pt>
                </c:lvl>
              </c:multiLvlStrCache>
            </c:multiLvlStrRef>
          </c:cat>
          <c:val>
            <c:numRef>
              <c:f>Sheet1!$B$5:$B$22</c:f>
              <c:numCache>
                <c:formatCode>0.00</c:formatCode>
                <c:ptCount val="13"/>
                <c:pt idx="0">
                  <c:v>1478.7060151843175</c:v>
                </c:pt>
                <c:pt idx="1">
                  <c:v>290.34599169842994</c:v>
                </c:pt>
                <c:pt idx="4">
                  <c:v>12.877252753854933</c:v>
                </c:pt>
                <c:pt idx="6">
                  <c:v>5.3138176620701784E-3</c:v>
                </c:pt>
                <c:pt idx="7">
                  <c:v>3827.7497235325927</c:v>
                </c:pt>
                <c:pt idx="8">
                  <c:v>6.6094666360079612</c:v>
                </c:pt>
                <c:pt idx="9">
                  <c:v>8.8495699773042595</c:v>
                </c:pt>
                <c:pt idx="11">
                  <c:v>256.63346236792222</c:v>
                </c:pt>
                <c:pt idx="12">
                  <c:v>263.64689544204145</c:v>
                </c:pt>
              </c:numCache>
            </c:numRef>
          </c:val>
          <c:extLst>
            <c:ext xmlns:c16="http://schemas.microsoft.com/office/drawing/2014/chart" uri="{C3380CC4-5D6E-409C-BE32-E72D297353CC}">
              <c16:uniqueId val="{00000000-F71F-554F-B92C-4CDF702FDC5E}"/>
            </c:ext>
          </c:extLst>
        </c:ser>
        <c:ser>
          <c:idx val="1"/>
          <c:order val="1"/>
          <c:tx>
            <c:strRef>
              <c:f>Sheet1!$C$3:$C$4</c:f>
              <c:strCache>
                <c:ptCount val="1"/>
                <c:pt idx="0">
                  <c:v>W</c:v>
                </c:pt>
              </c:strCache>
            </c:strRef>
          </c:tx>
          <c:spPr>
            <a:solidFill>
              <a:schemeClr val="accent2"/>
            </a:solidFill>
            <a:ln>
              <a:noFill/>
            </a:ln>
            <a:effectLst/>
          </c:spPr>
          <c:invertIfNegative val="0"/>
          <c:cat>
            <c:multiLvlStrRef>
              <c:f>Sheet1!$A$5:$A$22</c:f>
              <c:multiLvlStrCache>
                <c:ptCount val="13"/>
                <c:lvl>
                  <c:pt idx="0">
                    <c:v>Scope 1 GHG Emissions</c:v>
                  </c:pt>
                  <c:pt idx="1">
                    <c:v>Scope 2 GHG Emissions (Location-Based)</c:v>
                  </c:pt>
                  <c:pt idx="2">
                    <c:v>Scope 2 GHG Emissions (Market-Based)</c:v>
                  </c:pt>
                  <c:pt idx="3">
                    <c:v>Scope 3 GHG Emissions (Total)</c:v>
                  </c:pt>
                  <c:pt idx="4">
                    <c:v>Non-Renewable Energy Consumptio</c:v>
                  </c:pt>
                  <c:pt idx="5">
                    <c:v>Total Energy Consumption</c:v>
                  </c:pt>
                  <c:pt idx="6">
                    <c:v>Total Renewable Energy Consumption</c:v>
                  </c:pt>
                  <c:pt idx="7">
                    <c:v>Used Recovered Fiber</c:v>
                  </c:pt>
                  <c:pt idx="8">
                    <c:v>Hazardous Waste Generated</c:v>
                  </c:pt>
                  <c:pt idx="9">
                    <c:v>Other Waste</c:v>
                  </c:pt>
                  <c:pt idx="10">
                    <c:v>Waste-to-Energy</c:v>
                  </c:pt>
                  <c:pt idx="11">
                    <c:v>Waste-to-Landfill</c:v>
                  </c:pt>
                  <c:pt idx="12">
                    <c:v>Waste-to-Recovery</c:v>
                  </c:pt>
                </c:lvl>
                <c:lvl>
                  <c:pt idx="0">
                    <c:v>Carbon</c:v>
                  </c:pt>
                  <c:pt idx="4">
                    <c:v>Energy</c:v>
                  </c:pt>
                  <c:pt idx="7">
                    <c:v>Sourcing</c:v>
                  </c:pt>
                  <c:pt idx="8">
                    <c:v>Waste</c:v>
                  </c:pt>
                </c:lvl>
              </c:multiLvlStrCache>
            </c:multiLvlStrRef>
          </c:cat>
          <c:val>
            <c:numRef>
              <c:f>Sheet1!$C$5:$C$22</c:f>
              <c:numCache>
                <c:formatCode>0.00</c:formatCode>
                <c:ptCount val="13"/>
                <c:pt idx="0">
                  <c:v>3721.0703775813654</c:v>
                </c:pt>
                <c:pt idx="1">
                  <c:v>1137.3980674469119</c:v>
                </c:pt>
                <c:pt idx="2">
                  <c:v>1434.0784802557157</c:v>
                </c:pt>
                <c:pt idx="3">
                  <c:v>2946.1219498641249</c:v>
                </c:pt>
                <c:pt idx="4">
                  <c:v>19.329785722326861</c:v>
                </c:pt>
                <c:pt idx="5">
                  <c:v>53.647555031060733</c:v>
                </c:pt>
                <c:pt idx="6">
                  <c:v>33.25212331434561</c:v>
                </c:pt>
                <c:pt idx="7">
                  <c:v>3135.8245255744023</c:v>
                </c:pt>
                <c:pt idx="10">
                  <c:v>167.42728129845111</c:v>
                </c:pt>
                <c:pt idx="11">
                  <c:v>472.54250248069877</c:v>
                </c:pt>
                <c:pt idx="12">
                  <c:v>137.09727987760286</c:v>
                </c:pt>
              </c:numCache>
            </c:numRef>
          </c:val>
          <c:extLst>
            <c:ext xmlns:c16="http://schemas.microsoft.com/office/drawing/2014/chart" uri="{C3380CC4-5D6E-409C-BE32-E72D297353CC}">
              <c16:uniqueId val="{00000001-F71F-554F-B92C-4CDF702FDC5E}"/>
            </c:ext>
          </c:extLst>
        </c:ser>
        <c:dLbls>
          <c:showLegendKey val="0"/>
          <c:showVal val="0"/>
          <c:showCatName val="0"/>
          <c:showSerName val="0"/>
          <c:showPercent val="0"/>
          <c:showBubbleSize val="0"/>
        </c:dLbls>
        <c:gapWidth val="219"/>
        <c:overlap val="-27"/>
        <c:axId val="1390968127"/>
        <c:axId val="1390957375"/>
      </c:barChart>
      <c:catAx>
        <c:axId val="139096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57375"/>
        <c:crosses val="autoZero"/>
        <c:auto val="1"/>
        <c:lblAlgn val="ctr"/>
        <c:lblOffset val="100"/>
        <c:noMultiLvlLbl val="0"/>
      </c:catAx>
      <c:valAx>
        <c:axId val="1390957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6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1587500</xdr:colOff>
      <xdr:row>25</xdr:row>
      <xdr:rowOff>63500</xdr:rowOff>
    </xdr:to>
    <xdr:sp macro="" textlink="">
      <xdr:nvSpPr>
        <xdr:cNvPr id="1043" name="Text Box 19" hidden="1">
          <a:extLst>
            <a:ext uri="{FF2B5EF4-FFF2-40B4-BE49-F238E27FC236}">
              <a16:creationId xmlns:a16="http://schemas.microsoft.com/office/drawing/2014/main" id="{A51AF9C8-C787-A642-75F5-B7F53C03702C}"/>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1587500</xdr:colOff>
      <xdr:row>25</xdr:row>
      <xdr:rowOff>63500</xdr:rowOff>
    </xdr:to>
    <xdr:sp macro="" textlink="">
      <xdr:nvSpPr>
        <xdr:cNvPr id="2" name="AutoShape 19">
          <a:extLst>
            <a:ext uri="{FF2B5EF4-FFF2-40B4-BE49-F238E27FC236}">
              <a16:creationId xmlns:a16="http://schemas.microsoft.com/office/drawing/2014/main" id="{7084DD98-9759-6000-3623-4D54681E1070}"/>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1587500</xdr:colOff>
      <xdr:row>25</xdr:row>
      <xdr:rowOff>63500</xdr:rowOff>
    </xdr:to>
    <xdr:sp macro="" textlink="">
      <xdr:nvSpPr>
        <xdr:cNvPr id="3" name="AutoShape 19">
          <a:extLst>
            <a:ext uri="{FF2B5EF4-FFF2-40B4-BE49-F238E27FC236}">
              <a16:creationId xmlns:a16="http://schemas.microsoft.com/office/drawing/2014/main" id="{32673549-98B7-B832-AE4F-E89FED9D8908}"/>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1587500</xdr:colOff>
      <xdr:row>25</xdr:row>
      <xdr:rowOff>63500</xdr:rowOff>
    </xdr:to>
    <xdr:sp macro="" textlink="">
      <xdr:nvSpPr>
        <xdr:cNvPr id="4" name="AutoShape 19">
          <a:extLst>
            <a:ext uri="{FF2B5EF4-FFF2-40B4-BE49-F238E27FC236}">
              <a16:creationId xmlns:a16="http://schemas.microsoft.com/office/drawing/2014/main" id="{B5719DB9-8D42-D4E1-D629-1203DA114070}"/>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1587500</xdr:colOff>
      <xdr:row>28</xdr:row>
      <xdr:rowOff>63500</xdr:rowOff>
    </xdr:to>
    <xdr:sp macro="" textlink="">
      <xdr:nvSpPr>
        <xdr:cNvPr id="5" name="AutoShape 19">
          <a:extLst>
            <a:ext uri="{FF2B5EF4-FFF2-40B4-BE49-F238E27FC236}">
              <a16:creationId xmlns:a16="http://schemas.microsoft.com/office/drawing/2014/main" id="{9CEF641D-7529-DC6E-ECDF-C1B294F1AB10}"/>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584200</xdr:colOff>
      <xdr:row>5</xdr:row>
      <xdr:rowOff>0</xdr:rowOff>
    </xdr:from>
    <xdr:to>
      <xdr:col>18</xdr:col>
      <xdr:colOff>317500</xdr:colOff>
      <xdr:row>41</xdr:row>
      <xdr:rowOff>88900</xdr:rowOff>
    </xdr:to>
    <xdr:graphicFrame macro="">
      <xdr:nvGraphicFramePr>
        <xdr:cNvPr id="2" name="Chart 1">
          <a:extLst>
            <a:ext uri="{FF2B5EF4-FFF2-40B4-BE49-F238E27FC236}">
              <a16:creationId xmlns:a16="http://schemas.microsoft.com/office/drawing/2014/main" id="{01595B55-709B-26F8-0B90-940EA2449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469900</xdr:colOff>
      <xdr:row>15</xdr:row>
      <xdr:rowOff>0</xdr:rowOff>
    </xdr:to>
    <xdr:sp macro="" textlink="">
      <xdr:nvSpPr>
        <xdr:cNvPr id="2064" name="Text Box 16" hidden="1">
          <a:extLst>
            <a:ext uri="{FF2B5EF4-FFF2-40B4-BE49-F238E27FC236}">
              <a16:creationId xmlns:a16="http://schemas.microsoft.com/office/drawing/2014/main" id="{ED510C13-9747-B153-1760-1B72FE684D95}"/>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10</xdr:col>
      <xdr:colOff>1371600</xdr:colOff>
      <xdr:row>15</xdr:row>
      <xdr:rowOff>0</xdr:rowOff>
    </xdr:to>
    <xdr:sp macro="" textlink="">
      <xdr:nvSpPr>
        <xdr:cNvPr id="2" name="AutoShape 16">
          <a:extLst>
            <a:ext uri="{FF2B5EF4-FFF2-40B4-BE49-F238E27FC236}">
              <a16:creationId xmlns:a16="http://schemas.microsoft.com/office/drawing/2014/main" id="{5180054F-55A1-C001-1C8C-367C0004F08A}"/>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15</xdr:row>
      <xdr:rowOff>0</xdr:rowOff>
    </xdr:to>
    <xdr:sp macro="" textlink="">
      <xdr:nvSpPr>
        <xdr:cNvPr id="3" name="AutoShape 16">
          <a:extLst>
            <a:ext uri="{FF2B5EF4-FFF2-40B4-BE49-F238E27FC236}">
              <a16:creationId xmlns:a16="http://schemas.microsoft.com/office/drawing/2014/main" id="{DDEF427C-BFEB-CF1E-52D3-16DC2ED6DA5D}"/>
            </a:ext>
          </a:extLst>
        </xdr:cNvPr>
        <xdr:cNvSpPr>
          <a:spLocks noChangeArrowheads="1"/>
        </xdr:cNvSpPr>
      </xdr:nvSpPr>
      <xdr:spPr bwMode="auto">
        <a:xfrm>
          <a:off x="0" y="0"/>
          <a:ext cx="12700000" cy="1651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15</xdr:row>
      <xdr:rowOff>0</xdr:rowOff>
    </xdr:to>
    <xdr:sp macro="" textlink="">
      <xdr:nvSpPr>
        <xdr:cNvPr id="4" name="AutoShape 16">
          <a:extLst>
            <a:ext uri="{FF2B5EF4-FFF2-40B4-BE49-F238E27FC236}">
              <a16:creationId xmlns:a16="http://schemas.microsoft.com/office/drawing/2014/main" id="{DE1EA021-3C90-53DB-B99A-82A14224F74D}"/>
            </a:ext>
          </a:extLst>
        </xdr:cNvPr>
        <xdr:cNvSpPr>
          <a:spLocks noChangeArrowheads="1"/>
        </xdr:cNvSpPr>
      </xdr:nvSpPr>
      <xdr:spPr bwMode="auto">
        <a:xfrm>
          <a:off x="0" y="0"/>
          <a:ext cx="12700000" cy="16827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15</xdr:row>
      <xdr:rowOff>0</xdr:rowOff>
    </xdr:to>
    <xdr:sp macro="" textlink="">
      <xdr:nvSpPr>
        <xdr:cNvPr id="5" name="AutoShape 16">
          <a:extLst>
            <a:ext uri="{FF2B5EF4-FFF2-40B4-BE49-F238E27FC236}">
              <a16:creationId xmlns:a16="http://schemas.microsoft.com/office/drawing/2014/main" id="{6C1D2C8C-2EEF-75D8-34CC-CC0CAF2DF6BC}"/>
            </a:ext>
          </a:extLst>
        </xdr:cNvPr>
        <xdr:cNvSpPr>
          <a:spLocks noChangeArrowheads="1"/>
        </xdr:cNvSpPr>
      </xdr:nvSpPr>
      <xdr:spPr bwMode="auto">
        <a:xfrm>
          <a:off x="0" y="0"/>
          <a:ext cx="12700000" cy="168275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1371600</xdr:colOff>
      <xdr:row>3</xdr:row>
      <xdr:rowOff>0</xdr:rowOff>
    </xdr:to>
    <xdr:sp macro="" textlink="">
      <xdr:nvSpPr>
        <xdr:cNvPr id="2" name="AutoShape 16">
          <a:extLst>
            <a:ext uri="{FF2B5EF4-FFF2-40B4-BE49-F238E27FC236}">
              <a16:creationId xmlns:a16="http://schemas.microsoft.com/office/drawing/2014/main" id="{0051391B-6B32-034D-A4CC-74C4384606BF}"/>
            </a:ext>
          </a:extLst>
        </xdr:cNvPr>
        <xdr:cNvSpPr>
          <a:spLocks noChangeArrowheads="1"/>
        </xdr:cNvSpPr>
      </xdr:nvSpPr>
      <xdr:spPr bwMode="auto">
        <a:xfrm>
          <a:off x="0" y="0"/>
          <a:ext cx="13766800" cy="21463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3</xdr:row>
      <xdr:rowOff>0</xdr:rowOff>
    </xdr:to>
    <xdr:sp macro="" textlink="">
      <xdr:nvSpPr>
        <xdr:cNvPr id="3" name="AutoShape 16">
          <a:extLst>
            <a:ext uri="{FF2B5EF4-FFF2-40B4-BE49-F238E27FC236}">
              <a16:creationId xmlns:a16="http://schemas.microsoft.com/office/drawing/2014/main" id="{290807BC-9CD4-9846-AD3D-64EACF0F8E31}"/>
            </a:ext>
          </a:extLst>
        </xdr:cNvPr>
        <xdr:cNvSpPr>
          <a:spLocks noChangeArrowheads="1"/>
        </xdr:cNvSpPr>
      </xdr:nvSpPr>
      <xdr:spPr bwMode="auto">
        <a:xfrm>
          <a:off x="0" y="0"/>
          <a:ext cx="13766800" cy="182626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3</xdr:row>
      <xdr:rowOff>0</xdr:rowOff>
    </xdr:to>
    <xdr:sp macro="" textlink="">
      <xdr:nvSpPr>
        <xdr:cNvPr id="4" name="AutoShape 16">
          <a:extLst>
            <a:ext uri="{FF2B5EF4-FFF2-40B4-BE49-F238E27FC236}">
              <a16:creationId xmlns:a16="http://schemas.microsoft.com/office/drawing/2014/main" id="{17D7EB9C-66EE-8846-A526-6D4F71D95A91}"/>
            </a:ext>
          </a:extLst>
        </xdr:cNvPr>
        <xdr:cNvSpPr>
          <a:spLocks noChangeArrowheads="1"/>
        </xdr:cNvSpPr>
      </xdr:nvSpPr>
      <xdr:spPr bwMode="auto">
        <a:xfrm>
          <a:off x="0" y="0"/>
          <a:ext cx="13766800" cy="16827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3</xdr:row>
      <xdr:rowOff>0</xdr:rowOff>
    </xdr:to>
    <xdr:sp macro="" textlink="">
      <xdr:nvSpPr>
        <xdr:cNvPr id="5" name="AutoShape 16">
          <a:extLst>
            <a:ext uri="{FF2B5EF4-FFF2-40B4-BE49-F238E27FC236}">
              <a16:creationId xmlns:a16="http://schemas.microsoft.com/office/drawing/2014/main" id="{5E164350-00C5-1440-A137-A011E4D359C8}"/>
            </a:ext>
          </a:extLst>
        </xdr:cNvPr>
        <xdr:cNvSpPr>
          <a:spLocks noChangeArrowheads="1"/>
        </xdr:cNvSpPr>
      </xdr:nvSpPr>
      <xdr:spPr bwMode="auto">
        <a:xfrm>
          <a:off x="0" y="0"/>
          <a:ext cx="13766800" cy="168275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1371600</xdr:colOff>
      <xdr:row>3</xdr:row>
      <xdr:rowOff>0</xdr:rowOff>
    </xdr:to>
    <xdr:sp macro="" textlink="">
      <xdr:nvSpPr>
        <xdr:cNvPr id="2" name="AutoShape 16">
          <a:extLst>
            <a:ext uri="{FF2B5EF4-FFF2-40B4-BE49-F238E27FC236}">
              <a16:creationId xmlns:a16="http://schemas.microsoft.com/office/drawing/2014/main" id="{6B64C5AD-396D-D746-B5A2-B7368A21B672}"/>
            </a:ext>
          </a:extLst>
        </xdr:cNvPr>
        <xdr:cNvSpPr>
          <a:spLocks noChangeArrowheads="1"/>
        </xdr:cNvSpPr>
      </xdr:nvSpPr>
      <xdr:spPr bwMode="auto">
        <a:xfrm>
          <a:off x="0" y="0"/>
          <a:ext cx="13766800" cy="21463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3</xdr:row>
      <xdr:rowOff>0</xdr:rowOff>
    </xdr:to>
    <xdr:sp macro="" textlink="">
      <xdr:nvSpPr>
        <xdr:cNvPr id="3" name="AutoShape 16">
          <a:extLst>
            <a:ext uri="{FF2B5EF4-FFF2-40B4-BE49-F238E27FC236}">
              <a16:creationId xmlns:a16="http://schemas.microsoft.com/office/drawing/2014/main" id="{FA267CEB-CAB9-BF45-8A25-76F0CD01A4BF}"/>
            </a:ext>
          </a:extLst>
        </xdr:cNvPr>
        <xdr:cNvSpPr>
          <a:spLocks noChangeArrowheads="1"/>
        </xdr:cNvSpPr>
      </xdr:nvSpPr>
      <xdr:spPr bwMode="auto">
        <a:xfrm>
          <a:off x="0" y="0"/>
          <a:ext cx="13766800" cy="182626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3</xdr:row>
      <xdr:rowOff>0</xdr:rowOff>
    </xdr:to>
    <xdr:sp macro="" textlink="">
      <xdr:nvSpPr>
        <xdr:cNvPr id="4" name="AutoShape 16">
          <a:extLst>
            <a:ext uri="{FF2B5EF4-FFF2-40B4-BE49-F238E27FC236}">
              <a16:creationId xmlns:a16="http://schemas.microsoft.com/office/drawing/2014/main" id="{D5F1A789-2590-8545-B42A-E116D2E03E02}"/>
            </a:ext>
          </a:extLst>
        </xdr:cNvPr>
        <xdr:cNvSpPr>
          <a:spLocks noChangeArrowheads="1"/>
        </xdr:cNvSpPr>
      </xdr:nvSpPr>
      <xdr:spPr bwMode="auto">
        <a:xfrm>
          <a:off x="0" y="0"/>
          <a:ext cx="13766800" cy="168275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10</xdr:col>
      <xdr:colOff>1371600</xdr:colOff>
      <xdr:row>3</xdr:row>
      <xdr:rowOff>0</xdr:rowOff>
    </xdr:to>
    <xdr:sp macro="" textlink="">
      <xdr:nvSpPr>
        <xdr:cNvPr id="5" name="AutoShape 16">
          <a:extLst>
            <a:ext uri="{FF2B5EF4-FFF2-40B4-BE49-F238E27FC236}">
              <a16:creationId xmlns:a16="http://schemas.microsoft.com/office/drawing/2014/main" id="{FEF92B3E-F573-C74A-83A3-484609ED2E90}"/>
            </a:ext>
          </a:extLst>
        </xdr:cNvPr>
        <xdr:cNvSpPr>
          <a:spLocks noChangeArrowheads="1"/>
        </xdr:cNvSpPr>
      </xdr:nvSpPr>
      <xdr:spPr bwMode="auto">
        <a:xfrm>
          <a:off x="0" y="0"/>
          <a:ext cx="13766800" cy="168275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584200</xdr:colOff>
      <xdr:row>3</xdr:row>
      <xdr:rowOff>2095500</xdr:rowOff>
    </xdr:to>
    <xdr:sp macro="" textlink="">
      <xdr:nvSpPr>
        <xdr:cNvPr id="3097" name="Text Box 25" hidden="1">
          <a:extLst>
            <a:ext uri="{FF2B5EF4-FFF2-40B4-BE49-F238E27FC236}">
              <a16:creationId xmlns:a16="http://schemas.microsoft.com/office/drawing/2014/main" id="{DABC2F62-C3DD-19BF-6C0B-AB9B9938D7BB}"/>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18</xdr:col>
      <xdr:colOff>584200</xdr:colOff>
      <xdr:row>3</xdr:row>
      <xdr:rowOff>2095500</xdr:rowOff>
    </xdr:to>
    <xdr:sp macro="" textlink="">
      <xdr:nvSpPr>
        <xdr:cNvPr id="2" name="AutoShape 25">
          <a:extLst>
            <a:ext uri="{FF2B5EF4-FFF2-40B4-BE49-F238E27FC236}">
              <a16:creationId xmlns:a16="http://schemas.microsoft.com/office/drawing/2014/main" id="{F29C86B0-4493-19FD-D8D8-D09F09351DCC}"/>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584200</xdr:colOff>
      <xdr:row>3</xdr:row>
      <xdr:rowOff>2095500</xdr:rowOff>
    </xdr:to>
    <xdr:sp macro="" textlink="">
      <xdr:nvSpPr>
        <xdr:cNvPr id="3" name="AutoShape 25">
          <a:extLst>
            <a:ext uri="{FF2B5EF4-FFF2-40B4-BE49-F238E27FC236}">
              <a16:creationId xmlns:a16="http://schemas.microsoft.com/office/drawing/2014/main" id="{639A8852-DB6A-58A0-40ED-9D2D20A18946}"/>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584200</xdr:colOff>
      <xdr:row>3</xdr:row>
      <xdr:rowOff>2095500</xdr:rowOff>
    </xdr:to>
    <xdr:sp macro="" textlink="">
      <xdr:nvSpPr>
        <xdr:cNvPr id="4" name="AutoShape 25">
          <a:extLst>
            <a:ext uri="{FF2B5EF4-FFF2-40B4-BE49-F238E27FC236}">
              <a16:creationId xmlns:a16="http://schemas.microsoft.com/office/drawing/2014/main" id="{2BFB1926-BB21-BDA9-C628-45934C885F52}"/>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18</xdr:col>
      <xdr:colOff>584200</xdr:colOff>
      <xdr:row>3</xdr:row>
      <xdr:rowOff>2095500</xdr:rowOff>
    </xdr:to>
    <xdr:sp macro="" textlink="">
      <xdr:nvSpPr>
        <xdr:cNvPr id="5" name="AutoShape 25">
          <a:extLst>
            <a:ext uri="{FF2B5EF4-FFF2-40B4-BE49-F238E27FC236}">
              <a16:creationId xmlns:a16="http://schemas.microsoft.com/office/drawing/2014/main" id="{1F160A86-F19C-4195-7DB8-B592A54DFB39}"/>
            </a:ext>
          </a:extLst>
        </xdr:cNvPr>
        <xdr:cNvSpPr>
          <a:spLocks noChangeArrowheads="1"/>
        </xdr:cNvSpPr>
      </xdr:nvSpPr>
      <xdr:spPr bwMode="auto">
        <a:xfrm>
          <a:off x="0" y="0"/>
          <a:ext cx="12700000" cy="12700000"/>
        </a:xfrm>
        <a:custGeom>
          <a:avLst/>
          <a:gdLst/>
          <a:ahLst/>
          <a:cxnLst/>
          <a:rect l="0" t="0" r="0" b="0"/>
          <a:pathLst/>
        </a:custGeom>
        <a:solidFill>
          <a:srgbClr val="FFFFFF"/>
        </a:solidFill>
        <a:ln w="9525">
          <a:solidFill>
            <a:srgbClr val="000000"/>
          </a:solidFill>
          <a:round/>
          <a:headEnd/>
          <a:tailEnd/>
        </a:ln>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4.928970717592" createdVersion="8" refreshedVersion="8" minRefreshableVersion="3" recordCount="341" xr:uid="{C3C0E578-4FE6-2F42-BCE4-CABAFA7A5F9B}">
  <cacheSource type="worksheet">
    <worksheetSource ref="A1:I342" sheet="ESG"/>
  </cacheSource>
  <cacheFields count="9">
    <cacheField name="Pillar_x000a_(E/S/G/Financial)" numFmtId="0">
      <sharedItems count="5">
        <s v="E"/>
        <s v="S"/>
        <s v="G"/>
        <s v="P"/>
        <s v="F"/>
      </sharedItems>
    </cacheField>
    <cacheField name="KPI Category" numFmtId="0">
      <sharedItems count="14">
        <s v="Energy"/>
        <s v="Carbon"/>
        <s v="Water"/>
        <s v="Waste"/>
        <s v="Sourcing"/>
        <s v="Training"/>
        <s v="Workforce"/>
        <s v="Safety"/>
        <s v="Diversity"/>
        <s v="Ethics"/>
        <s v="Board"/>
        <s v="Compliance"/>
        <s v="Production"/>
        <s v="Performance"/>
      </sharedItems>
    </cacheField>
    <cacheField name="KPI Name" numFmtId="0">
      <sharedItems count="39">
        <s v="Total Renewable Energy Consumption"/>
        <s v="Scope 2 GHG Emissions (Location-Based)"/>
        <s v="Total BOD Discharged"/>
        <s v="Hazardous Waste Generated"/>
        <s v="Other Waste"/>
        <s v="Total COD Discharged"/>
        <s v="Biogenic CO2 (Total)"/>
        <s v="Non-Renewable Energy Consumptio"/>
        <s v="Total Energy Consumption"/>
        <s v="Waste-to-Recovery"/>
        <s v="Waste-to-Energy"/>
        <s v="Waste-to-Landfill"/>
        <s v="Scope 2 GHG Emissions (Market-Based)"/>
        <s v="Scope 1 GHG Emissions"/>
        <s v="Used Recovered Fiber"/>
        <s v="Scope 3 GHG Emissions (Total)"/>
        <s v="Total Water Discharges"/>
        <s v="Total Water Withdrawal"/>
        <s v="Average Training Hours per Employee"/>
        <s v="Total Number of Employees"/>
        <s v="Total Recordable Incident Rate (TRIR)"/>
        <s v="Total Training Hours"/>
        <s v="Turnover"/>
        <s v="Women in Senior Management"/>
        <s v="Women in Total Workforce"/>
        <s v="Anti-corruption Policy in Place (Y/N)"/>
        <s v="Total Board Size"/>
        <s v="Independent Directors"/>
        <s v="Board Independence (% Independent Directors)"/>
        <s v="ESG Assurance Provider"/>
        <s v="Women on Board"/>
        <s v="Board Average Age"/>
        <s v="Paper Production"/>
        <s v="Packaging Production"/>
        <s v="Total Production"/>
        <s v="Annual Revenue"/>
        <s v="Market Capitalization"/>
        <s v="Capital Expenditure"/>
        <s v="EBITDA Margin"/>
      </sharedItems>
    </cacheField>
    <cacheField name="Total Value_x000a_" numFmtId="0">
      <sharedItems containsMixedTypes="1" containsNumber="1" minValue="0.159" maxValue="5162891184"/>
    </cacheField>
    <cacheField name="Buisness" numFmtId="0">
      <sharedItems count="3">
        <s v="S"/>
        <s v="W"/>
        <s v="SW"/>
      </sharedItems>
    </cacheField>
    <cacheField name="Unit" numFmtId="0">
      <sharedItems containsBlank="1"/>
    </cacheField>
    <cacheField name="Reporting Year" numFmtId="0">
      <sharedItems containsSemiMixedTypes="0" containsString="0" containsNumber="1" containsInteger="1" minValue="2019" maxValue="2025"/>
    </cacheField>
    <cacheField name="(Unit/$ Revenue)" numFmtId="2">
      <sharedItems containsMixedTypes="1" containsNumber="1" minValue="7.6211982217204153E-6" maxValue="605262.7413833529" count="299">
        <n v="5.5260831122900091E-4"/>
        <n v="5.9364796675571388E-4"/>
        <n v="7.0339976553341146E-4"/>
        <n v="6.2426843542723375E-4"/>
        <n v="9.7586941092973737E-4"/>
        <n v="2.9200727401566128E-3"/>
        <n v="4.1430092264017032E-2"/>
        <n v="0.61801707935417938"/>
        <n v="0.86811121005243885"/>
        <n v="0.43699923906718585"/>
        <n v="1.0553341148886284"/>
        <n v="0.52648644958700253"/>
        <n v="1.0670866489832007"/>
        <n v="0.5220964748546485"/>
        <n v="0.54362035798965092"/>
        <n v="1.1777256740914419"/>
        <n v="0.47305316234820144"/>
        <n v="1.5599824961391213"/>
        <n v="0.90413919795858222"/>
        <n v="0.6997840373838734"/>
        <n v="1.1181689141234918"/>
        <n v="1"/>
        <n v="0.7090700321604142"/>
        <n v="1.7743423813824362"/>
        <n v="0.72085296772031604"/>
        <n v="0.66583859272190138"/>
        <n v="1.5035366931918657"/>
        <n v="1.3979420203819135"/>
        <n v="1.115645727662895"/>
        <n v="1.1366367538041358"/>
        <n v="1.2991483321504613"/>
        <n v="0.69604377698372466"/>
        <n v="1.4691797763925991"/>
        <n v="1.8052754982415007"/>
        <n v="1.5379701916252662"/>
        <n v="1.9284924845269673"/>
        <n v="1.0909289737000383"/>
        <n v="1.9137637016008202"/>
        <n v="2.3901537479123682"/>
        <n v="2.5408036993617298"/>
        <n v="2.1495003462946474"/>
        <n v="2.9018222855306339"/>
        <n v="1.7294620019941909"/>
        <n v="3.1571295544256905"/>
        <n v="2.2536889176019694"/>
        <n v="1.7635953486017251"/>
        <n v="1.5657278169867062"/>
        <n v="1.7510928962764505"/>
        <n v="1.5679720115258862"/>
        <n v="1.819758274947856"/>
        <n v="4.6264570650408583"/>
        <n v="3.5042583392476936"/>
        <n v="4.7010550996483005"/>
        <n v="4.0959730879588401"/>
        <n v="3.2579008973858761"/>
        <n v="4.6435676392572942"/>
        <n v="3.4349374439145448"/>
        <n v="2.4029572205509599"/>
        <n v="2.5840096265754005"/>
        <n v="3.0651005034135101"/>
        <n v="3.3983985773653491"/>
        <n v="3.4059390846886104"/>
        <n v="6.1509594871812645"/>
        <n v="4.2443371702629245"/>
        <n v="4.1523562389231525"/>
        <n v="5.1624152627397768"/>
        <n v="4.8852935328980429"/>
        <n v="5.157450330803762"/>
        <n v="10.032006657384736"/>
        <n v="11.832740991853026"/>
        <n v="12.740687646483265"/>
        <n v="16.739446472051387"/>
        <n v="11.479123584441162"/>
        <n v="11.183826123773905"/>
        <n v="12.178237321516495"/>
        <n v="13.698616654819837"/>
        <n v="19.84060173101194"/>
        <n v="15.691401005756935"/>
        <n v="16.255967907991529"/>
        <n v="41.612098391864514"/>
        <n v="16.21795686025451"/>
        <n v="38.714301503094603"/>
        <n v="32.90764726756565"/>
        <n v="47.573388042203987"/>
        <n v="42.159493420401702"/>
        <n v="51.821570926143025"/>
        <n v="35.330238002341005"/>
        <n v="46.999307410705448"/>
        <n v="42.489709013484742"/>
        <n v="63.577947387955341"/>
        <n v="38.117518532969179"/>
        <n v="39.641045649629341"/>
        <n v="68.512073935345427"/>
        <n v="59.620910698496907"/>
        <n v="54.714554269318292"/>
        <n v="66.354044548651814"/>
        <n v="43.772639260349884"/>
        <n v="34.878286558345643"/>
        <n v="40.398962984300738"/>
        <n v="36.416954813821654"/>
        <n v="89.301503094606545"/>
        <n v="51.181479964502699"/>
        <n v="49.950297993329322"/>
        <n v="82.914820285573612"/>
        <n v="88.688918683696755"/>
        <n v="111.33073012519938"/>
        <n v="123.57919766992059"/>
        <n v="114.56361398325947"/>
        <n v="214.24769339957416"/>
        <n v="328.24272210942286"/>
        <n v="247.35331948154743"/>
        <n v="277.74093722369582"/>
        <n v="198.28326180257511"/>
        <n v="298.35873388042205"/>
        <n v="120.76037917813375"/>
        <n v="143.25694411104178"/>
        <n v="162.28355842309585"/>
        <n v="172.25072246114638"/>
        <n v="529.46228002203304"/>
        <n v="354.86160397444996"/>
        <n v="449.38107869142351"/>
        <n v="477.49120750293082"/>
        <n v="413.17898486197686"/>
        <n v="327.35076082715568"/>
        <n v="336.70547550906844"/>
        <n v="234.25765632693253"/>
        <n v="301.49953352902361"/>
        <n v="297.04264858658212"/>
        <n v="258.74438407075485"/>
        <n v="298.72880225753624"/>
        <n v="417.97603067466815"/>
        <n v="295.27735105859182"/>
        <n v="681.91865605658711"/>
        <n v="351.47638064031673"/>
        <n v="734.70105509964833"/>
        <n v="295.1530590642862"/>
        <n v="350.54770627152931"/>
        <n v="576.02909865152594"/>
        <n v="644.10804392994953"/>
        <n v="348.71413253956825"/>
        <n v="891.41856922235502"/>
        <n v="528.83339836129539"/>
        <n v="696.28294711613739"/>
        <n v="475.28311176760218"/>
        <n v="623.27081852479637"/>
        <n v="1131.3492913467667"/>
        <n v="809.99507631708514"/>
        <n v="867.71806271022979"/>
        <n v="1013.7962562879746"/>
        <n v="1103.1113614126107"/>
        <n v="15197.651306724189"/>
        <n v="10752.306600425834"/>
        <n v="13859.416445623343"/>
        <n v="12496.289700207777"/>
        <n v="9902.458056964495"/>
        <n v="17108.97164573579"/>
        <n v="15334.114888628372"/>
        <n v="11683.818310858764"/>
        <n v="15152.519893899203"/>
        <n v="13861.680023745919"/>
        <n v="11010.534529847835"/>
        <n v="16916.764361078545"/>
        <n v="32785.409272482873"/>
        <n v="34637.424673820875"/>
        <n v="23799.409158050221"/>
        <n v="23725.025286382988"/>
        <n v="27619.826124993164"/>
        <n v="29650.943181559607"/>
        <n v="25855.440669620875"/>
        <n v="28472.855687316296"/>
        <n v="26686.331239856045"/>
        <n v="31458.362950407347"/>
        <n v="31007.836296616366"/>
        <n v="33503.538353016134"/>
        <n v="1.0313120249286843E-3"/>
        <n v="2.4314765694076041E-3"/>
        <n v="5.4160512063023141E-4"/>
        <n v="5.1101900972590624"/>
        <n v="3.7635546773927975E-4"/>
        <n v="9.2838196286472151E-5"/>
        <n v="5.8678871872016051E-4"/>
        <n v="9.3232758620689651E-2"/>
        <n v="0.53514588859416445"/>
        <n v="2.3209549071618038E-5"/>
        <n v="9.8711293814602636E-5"/>
        <n v="7.4839980305268337E-5"/>
        <n v="7.9505092559922839E-5"/>
        <n v="8.5884530649041682E-5"/>
        <n v="8.8743258925523939E-5"/>
        <n v="9.1858494176827593E-5"/>
        <n v="3.6845095393469998"/>
        <n v="0.97093611847922201"/>
        <n v="2.6624815361890692"/>
        <n v="1.7584994138335288E-3"/>
        <n v="2.3303930562416202"/>
        <n v="5.473388042203986"/>
        <n v="2.6275865379999042"/>
        <n v="7.0339976553341141E-5"/>
        <n v="2.8045145288643138"/>
        <n v="605262.7413833529"/>
        <n v="0.47092614302461899"/>
        <n v="2.5791324736225087E-5"/>
        <n v="1.0399437280187573"/>
        <n v="1.8502028297219747E-3"/>
        <n v="4.7536360937963789"/>
        <n v="5.8375383397645191E-5"/>
        <n v="5.0078361531611749E-2"/>
        <n v="44.348995351995747"/>
        <n v="27.436927621861152"/>
        <n v="15.783642650483381"/>
        <n v="18.53500194707166"/>
        <n v="14.529433180876966"/>
        <n v="0.48669239141189274"/>
        <n v="2.1767092114376175E-5"/>
        <n v="0.95072721875927579"/>
        <n v="1.6387046429964885E-3"/>
        <n v="3.7501365587202495"/>
        <n v="3.9797112758486147E-5"/>
        <n v="1.1737804146581181"/>
        <n v="0.87951747907434763"/>
        <n v="0.70260861383576789"/>
        <n v="0.62695707373800424"/>
        <n v="3.0603136948888019"/>
        <n v="0.42301989855637923"/>
        <n v="1.833788529067499E-5"/>
        <n v="0.75002731174405002"/>
        <n v="1.9517388218594747E-3"/>
        <n v="4.1680269694819021"/>
        <n v="4.7019162526614622E-5"/>
        <n v="61.529009936124915"/>
        <n v="0.46318310858765083"/>
        <n v="2.2267565649396736E-5"/>
        <n v="0.8586135557132718"/>
        <n v="3.1855338983526682E-3"/>
        <n v="0.9099118665656506"/>
        <n v="6.1950670488213522"/>
        <n v="0.62703101920236337"/>
        <n v="6.105606638509281E-5"/>
        <n v="0.52026438971608679"/>
        <n v="25.652926624458047"/>
        <n v="0.56145011495724451"/>
        <n v="0.66736935170488398"/>
        <n v="3.543906461917344E-5"/>
        <n v="1.3133542143501264"/>
        <e v="#VALUE!"/>
        <n v="768.56763925729445"/>
        <n v="832.11345617584345"/>
        <n v="817.44031830238725"/>
        <n v="1586.0079575596817"/>
        <n v="822.77049627960957"/>
        <n v="826.37749120750289"/>
        <n v="874.69402110199292"/>
        <n v="1701.0715123094958"/>
        <n v="788.27020020164196"/>
        <n v="720.49074898585138"/>
        <n v="797.06144256455923"/>
        <n v="1517.5521915504105"/>
        <n v="679.20918307341287"/>
        <n v="587.04642996488485"/>
        <n v="612.56340226297311"/>
        <n v="1199.6098322278581"/>
        <n v="631.25814869522401"/>
        <n v="640.52519517388214"/>
        <n v="649.30801987224982"/>
        <n v="1289.833215046132"/>
        <n v="959.24622424615154"/>
        <n v="1007.9560176704234"/>
        <n v="972.11876131395593"/>
        <n v="1980.0747789843795"/>
        <n v="0.45194977843426887"/>
        <n v="0.83129879347054647"/>
        <n v="0.36969397596029446"/>
        <n v="0.70113148653921187"/>
        <n v="0.70441318460906543"/>
        <n v="1.2360245374492926"/>
        <n v="0.51461419437049172"/>
        <n v="1.160398593200469"/>
        <n v="0.51379517742905567"/>
        <n v="0.90678603006189218"/>
        <n v="7.1004431314623334E-2"/>
        <n v="7.4609652235628099E-2"/>
        <n v="4.058052830898784E-2"/>
        <n v="6.8123293015996872E-2"/>
        <n v="4.3502381828753718E-2"/>
        <n v="5.8771148708815675E-2"/>
        <n v="5.5640885612214717E-2"/>
        <n v="5.779601406799531E-2"/>
        <n v="7.4859204986603964E-2"/>
        <n v="6.7639257294429711E-2"/>
        <n v="7.828655834564255E-6"/>
        <n v="1.4992902767920513E-5"/>
        <n v="7.6211982217204153E-6"/>
        <n v="1.2563402262973079E-5"/>
        <n v="8.5351086359296067E-6"/>
        <n v="1.5830612446819038E-5"/>
        <n v="9.3294195280679012E-6"/>
        <n v="2.0281359906213364E-5"/>
        <n v="9.5139154683142859E-6"/>
        <n v="1.956233421750663E-5"/>
      </sharedItems>
    </cacheField>
    <cacheField name="(Unit/$ Market Cap)" numFmtId="2">
      <sharedItems containsMixedTypes="1" containsNumber="1" minValue="1.21166224914805E-5" maxValue="521598.99618112377" count="299">
        <n v="6.0941423104112326E-4"/>
        <n v="4.8028817290374226E-4"/>
        <n v="6.0617081893677631E-4"/>
        <n v="8.903728436282693E-4"/>
        <n v="1.1739093315119953E-3"/>
        <n v="1.5536622640482719E-3"/>
        <n v="4.9837787074191071E-2"/>
        <n v="0.60482592343584662"/>
        <n v="0.70234140484290575"/>
        <n v="0.96691990995354049"/>
        <n v="0.9094582853448101"/>
        <n v="1.0230702054983807"/>
        <n v="1.1767788801404089"/>
        <n v="0.74117930535954002"/>
        <n v="1.0580487748246985"/>
        <n v="1.0149320078398092"/>
        <n v="1.2795803911043653"/>
        <n v="0.83000875406178809"/>
        <n v="0.88484095923577666"/>
        <n v="1.3598226497422852"/>
        <n v="1.3450866558524717"/>
        <n v="1.4262659988870339"/>
        <n v="1.3800636193365632"/>
        <n v="0.94406168844533167"/>
        <n v="1.0233382671852946"/>
        <n v="1.4732579248708277"/>
        <n v="1.658094239816688"/>
        <n v="1.1309985991594957"/>
        <n v="1.5912075681691709"/>
        <n v="1.6211463550361713"/>
        <n v="1.562793477332878"/>
        <n v="1.8827566101820403"/>
        <n v="1.1886331799079448"/>
        <n v="1.5557374068012364"/>
        <n v="1.8500811064629046"/>
        <n v="2.1267337834873117"/>
        <n v="2.1232760088540781"/>
        <n v="2.3021369892901524"/>
        <n v="2.6358519746375335"/>
        <n v="2.1895956391622269"/>
        <n v="1.7390434260556333"/>
        <n v="1.5439518748979701"/>
        <n v="2.4666728498114141"/>
        <n v="1.6797913914841907"/>
        <n v="2.2055854542889937"/>
        <n v="3.4270242987740849"/>
        <n v="3.4643845216851328"/>
        <n v="3.4081536246381749"/>
        <n v="4.2412701138908684"/>
        <n v="2.5833677090496026"/>
        <n v="2.4615659943484802"/>
        <n v="4.2154016904294371"/>
        <n v="4.0512416398941218"/>
        <n v="3.3138282969781869"/>
        <n v="4.646633277685031"/>
        <n v="5.1209077834385583"/>
        <n v="3.3616210309769841"/>
        <n v="5.3168677919828742"/>
        <n v="6.9895908362134787"/>
        <n v="4.3512821315441119"/>
        <n v="6.603779325446868"/>
        <n v="6.628982198181296"/>
        <n v="6.0196714235446658"/>
        <n v="9.3911699325685518"/>
        <n v="11.231874222827802"/>
        <n v="10.031622367227484"/>
        <n v="6.9352670274184014"/>
        <n v="10.037950057473822"/>
        <n v="14.241650889814464"/>
        <n v="23.030074067767753"/>
        <n v="24.757746260902248"/>
        <n v="16.382154326290365"/>
        <n v="25.399113202819446"/>
        <n v="30.251577929349487"/>
        <n v="26.945996884226123"/>
        <n v="26.661629490890519"/>
        <n v="19.417117526949465"/>
        <n v="30.491582193825103"/>
        <n v="23.077319197273759"/>
        <n v="22.14025223078389"/>
        <n v="43.86859920594523"/>
        <n v="42.693976549740391"/>
        <n v="39.585823444036542"/>
        <n v="40.997454082560459"/>
        <n v="34.108945367220329"/>
        <n v="44.658422743529123"/>
        <n v="50.390317195325544"/>
        <n v="38.024574744846909"/>
        <n v="51.112439170152825"/>
        <n v="33.827464749051011"/>
        <n v="54.365720645520312"/>
        <n v="56.5386755703951"/>
        <n v="36.452730249220579"/>
        <n v="65.749701387026789"/>
        <n v="44.266559935961574"/>
        <n v="57.182113919702566"/>
        <n v="42.83834192661989"/>
        <n v="77.172925450207529"/>
        <n v="57.351230594471794"/>
        <n v="98.505675455563477"/>
        <n v="98.481339736245516"/>
        <n v="99.456020693543223"/>
        <n v="97.218308360292866"/>
        <n v="183.46025209443192"/>
        <n v="239.89819810648478"/>
        <n v="158.04748201438849"/>
        <n v="240.13950454882109"/>
        <n v="253.48748788007538"/>
        <n v="257.72645778195169"/>
        <n v="174.64576268142619"/>
        <n v="200.12007204322595"/>
        <n v="306.29159252126857"/>
        <n v="282.80467445742903"/>
        <n v="257.11745569901598"/>
        <n v="326.64957243204725"/>
        <n v="203.37061719045815"/>
        <n v="315.85263068278567"/>
        <n v="334.71817207034923"/>
        <n v="281.70721687675257"/>
        <n v="426.87612054981645"/>
        <n v="495.57565268264142"/>
        <n v="411.48895758824835"/>
        <n v="334.2805683410046"/>
        <n v="466.88925987757375"/>
        <n v="329.51872521628064"/>
        <n v="518.32674227320763"/>
        <n v="585.87488807578791"/>
        <n v="578.13436489017545"/>
        <n v="699.88801791713331"/>
        <n v="424.08178720181752"/>
        <n v="409.05461543398093"/>
        <n v="653.341068296456"/>
        <n v="752.01716110474604"/>
        <n v="682.99006223538913"/>
        <n v="633.14542037946285"/>
        <n v="798.37129695612339"/>
        <n v="682.27130512514907"/>
        <n v="692.92666268248956"/>
        <n v="521.11266760056037"/>
        <n v="495.04202953426733"/>
        <n v="474.29071660673605"/>
        <n v="754.25709515859762"/>
        <n v="681.42125926718154"/>
        <n v="1051.6281552657667"/>
        <n v="1213.0725353311766"/>
        <n v="1107.2014070911314"/>
        <n v="1792.2236384830755"/>
        <n v="2347.1252417794972"/>
        <n v="1439.2068156001515"/>
        <n v="2143.5696362048575"/>
        <n v="8086.1058742512332"/>
        <n v="12934.346452659438"/>
        <n v="15284.108914511371"/>
        <n v="10110.066039623774"/>
        <n v="14123.539232053423"/>
        <n v="9103.0484470828287"/>
        <n v="13214.523852821725"/>
        <n v="14054.896269102705"/>
        <n v="16710.138215147599"/>
        <n v="11214.728837302382"/>
        <n v="15703.951029493601"/>
        <n v="14578.408195429471"/>
        <n v="32085.626920170525"/>
        <n v="33898.112307309355"/>
        <n v="52659.411053371245"/>
        <n v="64174.768400692257"/>
        <n v="53756.491571598846"/>
        <n v="57617.810596597512"/>
        <n v="57208.658800971767"/>
        <n v="40420.673987126087"/>
        <n v="72184.923139570397"/>
        <n v="61227.439128213868"/>
        <n v="44019.386595986369"/>
        <n v="65104.186241888958"/>
        <n v="1.0092993683601926E-3"/>
        <n v="2.6814226165809423E-3"/>
        <n v="1.1983745683127975E-3"/>
        <n v="5.6354971601296828"/>
        <n v="1.0180189351521938E-3"/>
        <n v="1.023815908149087E-4"/>
        <n v="8.3301779628928432E-4"/>
        <n v="0.10281671257587206"/>
        <n v="0.59015674134022378"/>
        <n v="2.5595397703727174E-5"/>
        <n v="9.6604368114475587E-5"/>
        <n v="1.6559357671231385E-4"/>
        <n v="2.1505650005090095E-4"/>
        <n v="1.2192351382052254E-4"/>
        <n v="1.7244619347136399E-4"/>
        <n v="1.7878426698450536E-4"/>
        <n v="3.6058661790908397"/>
        <n v="1.0707444604246399"/>
        <n v="5.891100434683139"/>
        <n v="1.5154270473419409E-3"/>
        <n v="6.3035732464623848"/>
        <n v="4.7168171990867025"/>
        <n v="3.7301779628928435"/>
        <n v="6.0617081893677629E-5"/>
        <n v="5.449741883421952"/>
        <n v="521598.99618112377"/>
        <n v="0.40583136327817176"/>
        <n v="2.2226263361015132E-5"/>
        <n v="0.89619526782647341"/>
        <n v="1.4968981388833299E-3"/>
        <n v="3.8459075445267161"/>
        <n v="4.7228337002201321E-5"/>
        <n v="4.0515669401640982E-2"/>
        <n v="43.402396087909182"/>
        <n v="60.707912540445136"/>
        <n v="42.693805354779599"/>
        <n v="26.312684589170768"/>
        <n v="28.233642483667357"/>
        <n v="0.39375625375225137"/>
        <n v="1.7610566339803883E-5"/>
        <n v="0.7691815089053432"/>
        <n v="2.337228714524207E-3"/>
        <n v="5.348692264885921"/>
        <n v="5.6761268781302168E-5"/>
        <n v="1.1487268668179507"/>
        <n v="1.9460513557974093"/>
        <n v="1.900514099562252"/>
        <n v="0.89004165088981446"/>
        <n v="4.3648213689482471"/>
        <n v="0.60333889816360597"/>
        <n v="2.615470228158041E-5"/>
        <n v="1.0697384529771843"/>
        <n v="2.3478186630239905E-3"/>
        <n v="5.0138734739178696"/>
        <n v="5.6561085972850681E-5"/>
        <n v="74.01551694698199"/>
        <n v="0.55718005634764789"/>
        <n v="2.6786476564500984E-5"/>
        <n v="1.0328579356270811"/>
        <n v="1.6949042880526602E-3"/>
        <n v="0.89049041414179286"/>
        <n v="3.2961651141904107"/>
        <n v="1.3873909206784978"/>
        <n v="3.2485665521009319E-5"/>
        <n v="1.4072839254810141"/>
        <n v="13.64896959953199"/>
        <n v="0.79704657326770167"/>
        <n v="0.35508244834703229"/>
        <n v="1.8855810204585847E-5"/>
        <n v="0.69878700420836704"/>
        <e v="#VALUE!"/>
        <n v="847.57331253199425"/>
        <n v="1619.5431423463308"/>
        <n v="901.46990712527111"/>
        <n v="1749.0432196572654"/>
        <n v="1598.8103423499113"/>
        <n v="712.1496837808894"/>
        <n v="753.78755733365654"/>
        <n v="1465.9372411145459"/>
        <n v="1119.0452101476712"/>
        <n v="582.90974584750847"/>
        <n v="644.8589153492095"/>
        <n v="1227.7686611967181"/>
        <n v="1837.2200447928333"/>
        <n v="837.28436282693383"/>
        <n v="873.67835281023929"/>
        <n v="1710.962715637173"/>
        <n v="1396.7440162978942"/>
        <n v="770.51139759241869"/>
        <n v="781.07658157602668"/>
        <n v="1551.5879791684454"/>
        <n v="938.77176337635512"/>
        <n v="536.29596514466255"/>
        <n v="517.22829190407015"/>
        <n v="1053.5242570487326"/>
        <n v="2.2126352256757196"/>
        <n v="1.2029369077093828"/>
        <n v="2.704939936882826"/>
        <n v="1.4196213555471411"/>
        <n v="0.80904542725635387"/>
        <n v="1.9432032985861625"/>
        <n v="0.86177284758845041"/>
        <n v="1.9463008683807255"/>
        <n v="1.1027959924920165"/>
        <n v="1"/>
        <n v="0.15710690590580775"/>
        <n v="8.9750704345598911E-2"/>
        <n v="0.10976789168278531"/>
        <n v="9.7161936560934886E-2"/>
        <n v="6.1756910261264675E-2"/>
        <n v="4.7548529117470484E-2"/>
        <n v="0.10812155245791098"/>
        <n v="4.9807035622638454E-2"/>
        <n v="0.14569853567171803"/>
        <n v="7.4592301879433484E-2"/>
        <n v="1.7321959669248618E-5"/>
        <n v="1.8035516093229746E-5"/>
        <n v="2.0614883436831928E-5"/>
        <n v="1.791875347801892E-5"/>
        <n v="1.21166224914805E-5"/>
        <n v="1.280768461076646E-5"/>
        <n v="1.8128958800835703E-5"/>
        <n v="1.7477925279343717E-5"/>
        <n v="1.8516941937680913E-5"/>
        <n v="2.1573263778855761E-5"/>
      </sharedItems>
    </cacheField>
  </cacheFields>
  <extLst>
    <ext xmlns:x14="http://schemas.microsoft.com/office/spreadsheetml/2009/9/main" uri="{725AE2AE-9491-48be-B2B4-4EB974FC3084}">
      <x14:pivotCacheDefinition pivotCacheId="865566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1">
  <r>
    <x v="0"/>
    <x v="0"/>
    <x v="0"/>
    <n v="5"/>
    <x v="0"/>
    <s v="GWh"/>
    <n v="2019"/>
    <x v="0"/>
    <x v="0"/>
  </r>
  <r>
    <x v="0"/>
    <x v="0"/>
    <x v="0"/>
    <n v="6"/>
    <x v="0"/>
    <s v="GWh"/>
    <n v="2021"/>
    <x v="1"/>
    <x v="1"/>
  </r>
  <r>
    <x v="0"/>
    <x v="0"/>
    <x v="0"/>
    <n v="6"/>
    <x v="0"/>
    <s v="GWh"/>
    <n v="2020"/>
    <x v="2"/>
    <x v="2"/>
  </r>
  <r>
    <x v="0"/>
    <x v="0"/>
    <x v="0"/>
    <n v="8"/>
    <x v="0"/>
    <s v="GWh"/>
    <n v="2022"/>
    <x v="3"/>
    <x v="3"/>
  </r>
  <r>
    <x v="0"/>
    <x v="0"/>
    <x v="0"/>
    <n v="11"/>
    <x v="0"/>
    <s v="GWh"/>
    <n v="2023"/>
    <x v="4"/>
    <x v="4"/>
  </r>
  <r>
    <x v="0"/>
    <x v="0"/>
    <x v="0"/>
    <n v="22"/>
    <x v="0"/>
    <s v="GWh"/>
    <n v="2024"/>
    <x v="5"/>
    <x v="5"/>
  </r>
  <r>
    <x v="0"/>
    <x v="1"/>
    <x v="1"/>
    <n v="467"/>
    <x v="0"/>
    <s v="tCO₂e"/>
    <n v="2023"/>
    <x v="6"/>
    <x v="6"/>
  </r>
  <r>
    <x v="0"/>
    <x v="2"/>
    <x v="2"/>
    <n v="8389.545454545454"/>
    <x v="1"/>
    <s v="Metric Tonnes"/>
    <n v="2024"/>
    <x v="7"/>
    <x v="7"/>
  </r>
  <r>
    <x v="0"/>
    <x v="3"/>
    <x v="3"/>
    <n v="8774"/>
    <x v="0"/>
    <s v="Metric Tonnes"/>
    <n v="2021"/>
    <x v="8"/>
    <x v="8"/>
  </r>
  <r>
    <x v="0"/>
    <x v="2"/>
    <x v="2"/>
    <n v="8875.4545454545441"/>
    <x v="1"/>
    <s v="Metric Tonnes"/>
    <n v="2023"/>
    <x v="9"/>
    <x v="9"/>
  </r>
  <r>
    <x v="0"/>
    <x v="3"/>
    <x v="4"/>
    <n v="9002"/>
    <x v="0"/>
    <s v="Metric Tonnes"/>
    <n v="2020"/>
    <x v="10"/>
    <x v="10"/>
  </r>
  <r>
    <x v="0"/>
    <x v="2"/>
    <x v="2"/>
    <n v="9255"/>
    <x v="1"/>
    <s v="Metric Tonnes"/>
    <n v="2020"/>
    <x v="11"/>
    <x v="11"/>
  </r>
  <r>
    <x v="0"/>
    <x v="3"/>
    <x v="3"/>
    <n v="9655"/>
    <x v="0"/>
    <s v="Metric Tonnes"/>
    <n v="2019"/>
    <x v="12"/>
    <x v="12"/>
  </r>
  <r>
    <x v="0"/>
    <x v="2"/>
    <x v="2"/>
    <n v="9787.2727272727261"/>
    <x v="1"/>
    <s v="Metric Tonnes"/>
    <n v="2021"/>
    <x v="13"/>
    <x v="13"/>
  </r>
  <r>
    <x v="0"/>
    <x v="2"/>
    <x v="2"/>
    <n v="9942.2727272727261"/>
    <x v="1"/>
    <s v="Metric Tonnes"/>
    <n v="2019"/>
    <x v="14"/>
    <x v="14"/>
  </r>
  <r>
    <x v="0"/>
    <x v="3"/>
    <x v="3"/>
    <n v="10046"/>
    <x v="0"/>
    <s v="Metric Tonnes"/>
    <n v="2020"/>
    <x v="15"/>
    <x v="15"/>
  </r>
  <r>
    <x v="0"/>
    <x v="2"/>
    <x v="2"/>
    <n v="10055.454545454544"/>
    <x v="1"/>
    <s v="Metric Tonnes"/>
    <n v="2022"/>
    <x v="16"/>
    <x v="16"/>
  </r>
  <r>
    <x v="0"/>
    <x v="2"/>
    <x v="2"/>
    <n v="11753"/>
    <x v="0"/>
    <s v="Metric Tonnes"/>
    <n v="2024"/>
    <x v="17"/>
    <x v="17"/>
  </r>
  <r>
    <x v="0"/>
    <x v="2"/>
    <x v="5"/>
    <n v="12273.636363636364"/>
    <x v="1"/>
    <s v="Metric Tonnes"/>
    <n v="2024"/>
    <x v="18"/>
    <x v="18"/>
  </r>
  <r>
    <x v="0"/>
    <x v="2"/>
    <x v="5"/>
    <n v="12301.363636363634"/>
    <x v="1"/>
    <s v="Metric Tonnes"/>
    <n v="2020"/>
    <x v="19"/>
    <x v="19"/>
  </r>
  <r>
    <x v="0"/>
    <x v="3"/>
    <x v="3"/>
    <n v="12604"/>
    <x v="0"/>
    <s v="Metric Tonnes"/>
    <n v="2023"/>
    <x v="20"/>
    <x v="20"/>
  </r>
  <r>
    <x v="0"/>
    <x v="3"/>
    <x v="3"/>
    <n v="12815"/>
    <x v="0"/>
    <s v="Metric Tonnes"/>
    <n v="2022"/>
    <x v="21"/>
    <x v="21"/>
  </r>
  <r>
    <x v="0"/>
    <x v="2"/>
    <x v="5"/>
    <n v="12968.181818181816"/>
    <x v="1"/>
    <s v="Metric Tonnes"/>
    <n v="2019"/>
    <x v="22"/>
    <x v="22"/>
  </r>
  <r>
    <x v="0"/>
    <x v="3"/>
    <x v="3"/>
    <n v="13368"/>
    <x v="0"/>
    <s v="Metric Tonnes"/>
    <n v="2024"/>
    <x v="23"/>
    <x v="23"/>
  </r>
  <r>
    <x v="0"/>
    <x v="2"/>
    <x v="5"/>
    <n v="13513.181818181816"/>
    <x v="1"/>
    <s v="Metric Tonnes"/>
    <n v="2021"/>
    <x v="24"/>
    <x v="24"/>
  </r>
  <r>
    <x v="0"/>
    <x v="2"/>
    <x v="5"/>
    <n v="13523.181818181816"/>
    <x v="1"/>
    <s v="Metric Tonnes"/>
    <n v="2023"/>
    <x v="25"/>
    <x v="25"/>
  </r>
  <r>
    <x v="0"/>
    <x v="3"/>
    <x v="4"/>
    <n v="13604"/>
    <x v="0"/>
    <s v="Metric Tonnes"/>
    <n v="2019"/>
    <x v="26"/>
    <x v="26"/>
  </r>
  <r>
    <x v="0"/>
    <x v="3"/>
    <x v="4"/>
    <n v="14129"/>
    <x v="0"/>
    <s v="Metric Tonnes"/>
    <n v="2021"/>
    <x v="27"/>
    <x v="27"/>
  </r>
  <r>
    <x v="0"/>
    <x v="2"/>
    <x v="2"/>
    <n v="14297"/>
    <x v="0"/>
    <s v="Metric Tonnes"/>
    <n v="2022"/>
    <x v="28"/>
    <x v="28"/>
  </r>
  <r>
    <x v="0"/>
    <x v="3"/>
    <x v="4"/>
    <n v="14566"/>
    <x v="0"/>
    <s v="Metric Tonnes"/>
    <n v="2022"/>
    <x v="29"/>
    <x v="29"/>
  </r>
  <r>
    <x v="0"/>
    <x v="2"/>
    <x v="2"/>
    <n v="14644"/>
    <x v="0"/>
    <s v="Metric Tonnes"/>
    <n v="2023"/>
    <x v="30"/>
    <x v="30"/>
  </r>
  <r>
    <x v="0"/>
    <x v="2"/>
    <x v="5"/>
    <n v="14795.454545454544"/>
    <x v="1"/>
    <s v="Metric Tonnes"/>
    <n v="2022"/>
    <x v="31"/>
    <x v="31"/>
  </r>
  <r>
    <x v="0"/>
    <x v="2"/>
    <x v="2"/>
    <n v="14849"/>
    <x v="0"/>
    <s v="Metric Tonnes"/>
    <n v="2021"/>
    <x v="32"/>
    <x v="32"/>
  </r>
  <r>
    <x v="0"/>
    <x v="2"/>
    <x v="2"/>
    <n v="15399"/>
    <x v="0"/>
    <s v="Metric Tonnes"/>
    <n v="2020"/>
    <x v="33"/>
    <x v="33"/>
  </r>
  <r>
    <x v="0"/>
    <x v="3"/>
    <x v="4"/>
    <n v="17336"/>
    <x v="0"/>
    <s v="Metric Tonnes"/>
    <n v="2023"/>
    <x v="34"/>
    <x v="34"/>
  </r>
  <r>
    <x v="0"/>
    <x v="2"/>
    <x v="2"/>
    <n v="17449"/>
    <x v="0"/>
    <s v="Metric Tonnes"/>
    <n v="2019"/>
    <x v="35"/>
    <x v="35"/>
  </r>
  <r>
    <x v="0"/>
    <x v="1"/>
    <x v="6"/>
    <n v="19952"/>
    <x v="1"/>
    <s v="tCO₂e"/>
    <n v="2019"/>
    <x v="36"/>
    <x v="36"/>
  </r>
  <r>
    <x v="0"/>
    <x v="0"/>
    <x v="7"/>
    <n v="21571.944444444445"/>
    <x v="0"/>
    <s v="GWh"/>
    <n v="2023"/>
    <x v="37"/>
    <x v="37"/>
  </r>
  <r>
    <x v="0"/>
    <x v="0"/>
    <x v="7"/>
    <n v="21626.111111111109"/>
    <x v="0"/>
    <s v="GWh"/>
    <n v="2019"/>
    <x v="38"/>
    <x v="38"/>
  </r>
  <r>
    <x v="0"/>
    <x v="0"/>
    <x v="7"/>
    <n v="21673.055555555555"/>
    <x v="0"/>
    <s v="GWh"/>
    <n v="2020"/>
    <x v="39"/>
    <x v="39"/>
  </r>
  <r>
    <x v="0"/>
    <x v="0"/>
    <x v="7"/>
    <n v="21725"/>
    <x v="0"/>
    <s v="GWh"/>
    <n v="2021"/>
    <x v="40"/>
    <x v="40"/>
  </r>
  <r>
    <x v="0"/>
    <x v="0"/>
    <x v="7"/>
    <n v="21862.5"/>
    <x v="0"/>
    <s v="GWh"/>
    <n v="2024"/>
    <x v="41"/>
    <x v="41"/>
  </r>
  <r>
    <x v="0"/>
    <x v="0"/>
    <x v="7"/>
    <n v="22163.055555555555"/>
    <x v="0"/>
    <s v="GWh"/>
    <n v="2022"/>
    <x v="42"/>
    <x v="42"/>
  </r>
  <r>
    <x v="0"/>
    <x v="3"/>
    <x v="4"/>
    <n v="23786"/>
    <x v="0"/>
    <s v="Metric Tonnes"/>
    <n v="2024"/>
    <x v="43"/>
    <x v="43"/>
  </r>
  <r>
    <x v="0"/>
    <x v="0"/>
    <x v="7"/>
    <n v="30593.694327000001"/>
    <x v="1"/>
    <s v="GWh"/>
    <n v="2024"/>
    <x v="44"/>
    <x v="44"/>
  </r>
  <r>
    <x v="0"/>
    <x v="0"/>
    <x v="7"/>
    <n v="31001.889914000003"/>
    <x v="1"/>
    <s v="GWh"/>
    <n v="2020"/>
    <x v="45"/>
    <x v="45"/>
  </r>
  <r>
    <x v="0"/>
    <x v="0"/>
    <x v="7"/>
    <n v="31799.931963000003"/>
    <x v="1"/>
    <s v="GWh"/>
    <n v="2023"/>
    <x v="46"/>
    <x v="46"/>
  </r>
  <r>
    <x v="0"/>
    <x v="0"/>
    <x v="7"/>
    <n v="32025.737980000002"/>
    <x v="1"/>
    <s v="GWh"/>
    <n v="2019"/>
    <x v="47"/>
    <x v="47"/>
  </r>
  <r>
    <x v="0"/>
    <x v="0"/>
    <x v="7"/>
    <n v="33329.597063000001"/>
    <x v="1"/>
    <s v="GWh"/>
    <n v="2022"/>
    <x v="48"/>
    <x v="48"/>
  </r>
  <r>
    <x v="0"/>
    <x v="0"/>
    <x v="7"/>
    <n v="34113.370598000001"/>
    <x v="1"/>
    <s v="GWh"/>
    <n v="2021"/>
    <x v="49"/>
    <x v="49"/>
  </r>
  <r>
    <x v="0"/>
    <x v="2"/>
    <x v="5"/>
    <n v="34856"/>
    <x v="0"/>
    <s v="Metric Tonnes"/>
    <n v="2024"/>
    <x v="50"/>
    <x v="50"/>
  </r>
  <r>
    <x v="0"/>
    <x v="2"/>
    <x v="5"/>
    <n v="39500"/>
    <x v="0"/>
    <s v="Metric Tonnes"/>
    <n v="2023"/>
    <x v="51"/>
    <x v="51"/>
  </r>
  <r>
    <x v="0"/>
    <x v="2"/>
    <x v="5"/>
    <n v="40100"/>
    <x v="0"/>
    <s v="Metric Tonnes"/>
    <n v="2020"/>
    <x v="52"/>
    <x v="52"/>
  </r>
  <r>
    <x v="0"/>
    <x v="2"/>
    <x v="5"/>
    <n v="41398"/>
    <x v="0"/>
    <s v="Metric Tonnes"/>
    <n v="2021"/>
    <x v="53"/>
    <x v="53"/>
  </r>
  <r>
    <x v="0"/>
    <x v="2"/>
    <x v="5"/>
    <n v="41750"/>
    <x v="0"/>
    <s v="Metric Tonnes"/>
    <n v="2022"/>
    <x v="54"/>
    <x v="54"/>
  </r>
  <r>
    <x v="0"/>
    <x v="2"/>
    <x v="5"/>
    <n v="42015"/>
    <x v="0"/>
    <s v="Metric Tonnes"/>
    <n v="2019"/>
    <x v="55"/>
    <x v="55"/>
  </r>
  <r>
    <x v="0"/>
    <x v="0"/>
    <x v="0"/>
    <n v="46629.073502879997"/>
    <x v="1"/>
    <s v="GWh"/>
    <n v="2024"/>
    <x v="56"/>
    <x v="56"/>
  </r>
  <r>
    <x v="0"/>
    <x v="0"/>
    <x v="0"/>
    <n v="48804.06114939"/>
    <x v="1"/>
    <s v="GWh"/>
    <n v="2023"/>
    <x v="57"/>
    <x v="57"/>
  </r>
  <r>
    <x v="0"/>
    <x v="0"/>
    <x v="0"/>
    <n v="54927.000627299996"/>
    <x v="1"/>
    <s v="GWh"/>
    <n v="2022"/>
    <x v="58"/>
    <x v="58"/>
  </r>
  <r>
    <x v="0"/>
    <x v="0"/>
    <x v="0"/>
    <n v="57458.68054704"/>
    <x v="1"/>
    <s v="GWh"/>
    <n v="2021"/>
    <x v="59"/>
    <x v="59"/>
  </r>
  <r>
    <x v="0"/>
    <x v="0"/>
    <x v="0"/>
    <n v="59739.768911789994"/>
    <x v="1"/>
    <s v="GWh"/>
    <n v="2020"/>
    <x v="60"/>
    <x v="60"/>
  </r>
  <r>
    <x v="0"/>
    <x v="0"/>
    <x v="0"/>
    <n v="62291.219919869996"/>
    <x v="1"/>
    <s v="GWh"/>
    <n v="2019"/>
    <x v="61"/>
    <x v="61"/>
  </r>
  <r>
    <x v="0"/>
    <x v="0"/>
    <x v="8"/>
    <n v="83498.912781990002"/>
    <x v="1"/>
    <s v="GWh"/>
    <n v="2024"/>
    <x v="62"/>
    <x v="62"/>
  </r>
  <r>
    <x v="0"/>
    <x v="0"/>
    <x v="8"/>
    <n v="86202.487928039991"/>
    <x v="1"/>
    <s v="GWh"/>
    <n v="2023"/>
    <x v="63"/>
    <x v="63"/>
  </r>
  <r>
    <x v="0"/>
    <x v="0"/>
    <x v="8"/>
    <n v="88264.560392669999"/>
    <x v="1"/>
    <s v="GWh"/>
    <n v="2022"/>
    <x v="64"/>
    <x v="64"/>
  </r>
  <r>
    <x v="0"/>
    <x v="0"/>
    <x v="8"/>
    <n v="90749.065420649989"/>
    <x v="1"/>
    <s v="GWh"/>
    <n v="2020"/>
    <x v="65"/>
    <x v="65"/>
  </r>
  <r>
    <x v="0"/>
    <x v="0"/>
    <x v="8"/>
    <n v="91580.201097059995"/>
    <x v="1"/>
    <s v="GWh"/>
    <n v="2021"/>
    <x v="66"/>
    <x v="66"/>
  </r>
  <r>
    <x v="0"/>
    <x v="0"/>
    <x v="8"/>
    <n v="94324.609100069996"/>
    <x v="1"/>
    <s v="GWh"/>
    <n v="2019"/>
    <x v="67"/>
    <x v="67"/>
  </r>
  <r>
    <x v="0"/>
    <x v="3"/>
    <x v="9"/>
    <n v="188061"/>
    <x v="1"/>
    <s v="Metric Tonnes"/>
    <n v="2021"/>
    <x v="68"/>
    <x v="68"/>
  </r>
  <r>
    <x v="0"/>
    <x v="3"/>
    <x v="9"/>
    <n v="216409"/>
    <x v="1"/>
    <s v="Metric Tonnes"/>
    <n v="2019"/>
    <x v="69"/>
    <x v="69"/>
  </r>
  <r>
    <x v="0"/>
    <x v="3"/>
    <x v="9"/>
    <n v="223966"/>
    <x v="1"/>
    <s v="Metric Tonnes"/>
    <n v="2020"/>
    <x v="70"/>
    <x v="70"/>
  </r>
  <r>
    <x v="0"/>
    <x v="3"/>
    <x v="10"/>
    <n v="227237"/>
    <x v="1"/>
    <s v="Metric Tonnes"/>
    <n v="2024"/>
    <x v="71"/>
    <x v="71"/>
  </r>
  <r>
    <x v="0"/>
    <x v="3"/>
    <x v="9"/>
    <n v="233141"/>
    <x v="1"/>
    <s v="Metric Tonnes"/>
    <n v="2023"/>
    <x v="72"/>
    <x v="72"/>
  </r>
  <r>
    <x v="0"/>
    <x v="3"/>
    <x v="9"/>
    <n v="237729"/>
    <x v="1"/>
    <s v="Metric Tonnes"/>
    <n v="2022"/>
    <x v="73"/>
    <x v="73"/>
  </r>
  <r>
    <x v="0"/>
    <x v="3"/>
    <x v="10"/>
    <n v="247340"/>
    <x v="1"/>
    <s v="Metric Tonnes"/>
    <n v="2023"/>
    <x v="74"/>
    <x v="74"/>
  </r>
  <r>
    <x v="0"/>
    <x v="3"/>
    <x v="10"/>
    <n v="250534"/>
    <x v="1"/>
    <s v="Metric Tonnes"/>
    <n v="2019"/>
    <x v="75"/>
    <x v="75"/>
  </r>
  <r>
    <x v="0"/>
    <x v="3"/>
    <x v="9"/>
    <n v="269335"/>
    <x v="1"/>
    <s v="Metric Tonnes"/>
    <n v="2024"/>
    <x v="76"/>
    <x v="76"/>
  </r>
  <r>
    <x v="0"/>
    <x v="3"/>
    <x v="10"/>
    <n v="275836"/>
    <x v="1"/>
    <s v="Metric Tonnes"/>
    <n v="2020"/>
    <x v="77"/>
    <x v="77"/>
  </r>
  <r>
    <x v="0"/>
    <x v="3"/>
    <x v="10"/>
    <n v="304736"/>
    <x v="1"/>
    <s v="Metric Tonnes"/>
    <n v="2021"/>
    <x v="78"/>
    <x v="78"/>
  </r>
  <r>
    <x v="0"/>
    <x v="3"/>
    <x v="11"/>
    <n v="313508"/>
    <x v="0"/>
    <s v="Metric Tonnes"/>
    <n v="2024"/>
    <x v="79"/>
    <x v="79"/>
  </r>
  <r>
    <x v="0"/>
    <x v="3"/>
    <x v="10"/>
    <n v="344737"/>
    <x v="1"/>
    <s v="Metric Tonnes"/>
    <n v="2022"/>
    <x v="80"/>
    <x v="80"/>
  </r>
  <r>
    <x v="0"/>
    <x v="3"/>
    <x v="9"/>
    <n v="350287"/>
    <x v="0"/>
    <s v="Metric Tonnes"/>
    <n v="2019"/>
    <x v="81"/>
    <x v="81"/>
  </r>
  <r>
    <x v="0"/>
    <x v="3"/>
    <x v="11"/>
    <n v="370935"/>
    <x v="0"/>
    <s v="Metric Tonnes"/>
    <n v="2023"/>
    <x v="82"/>
    <x v="82"/>
  </r>
  <r>
    <x v="0"/>
    <x v="3"/>
    <x v="9"/>
    <n v="405801"/>
    <x v="0"/>
    <s v="Metric Tonnes"/>
    <n v="2020"/>
    <x v="83"/>
    <x v="83"/>
  </r>
  <r>
    <x v="0"/>
    <x v="3"/>
    <x v="11"/>
    <n v="426106"/>
    <x v="0"/>
    <s v="Metric Tonnes"/>
    <n v="2021"/>
    <x v="84"/>
    <x v="84"/>
  </r>
  <r>
    <x v="0"/>
    <x v="3"/>
    <x v="11"/>
    <n v="442038"/>
    <x v="0"/>
    <s v="Metric Tonnes"/>
    <n v="2020"/>
    <x v="85"/>
    <x v="85"/>
  </r>
  <r>
    <x v="0"/>
    <x v="3"/>
    <x v="11"/>
    <n v="452757"/>
    <x v="0"/>
    <s v="Metric Tonnes"/>
    <n v="2022"/>
    <x v="86"/>
    <x v="86"/>
  </r>
  <r>
    <x v="0"/>
    <x v="3"/>
    <x v="9"/>
    <n v="475022"/>
    <x v="0"/>
    <s v="Metric Tonnes"/>
    <n v="2021"/>
    <x v="87"/>
    <x v="87"/>
  </r>
  <r>
    <x v="0"/>
    <x v="3"/>
    <x v="9"/>
    <n v="478944"/>
    <x v="0"/>
    <s v="Metric Tonnes"/>
    <n v="2023"/>
    <x v="88"/>
    <x v="88"/>
  </r>
  <r>
    <x v="0"/>
    <x v="1"/>
    <x v="1"/>
    <n v="479000"/>
    <x v="0"/>
    <s v="tCO₂e"/>
    <n v="2024"/>
    <x v="89"/>
    <x v="89"/>
  </r>
  <r>
    <x v="0"/>
    <x v="3"/>
    <x v="9"/>
    <n v="488476"/>
    <x v="0"/>
    <s v="Metric Tonnes"/>
    <n v="2022"/>
    <x v="90"/>
    <x v="90"/>
  </r>
  <r>
    <x v="0"/>
    <x v="1"/>
    <x v="1"/>
    <n v="508000"/>
    <x v="0"/>
    <s v="tCO₂e"/>
    <n v="2022"/>
    <x v="91"/>
    <x v="91"/>
  </r>
  <r>
    <x v="0"/>
    <x v="3"/>
    <x v="9"/>
    <n v="516174"/>
    <x v="0"/>
    <s v="Metric Tonnes"/>
    <n v="2024"/>
    <x v="92"/>
    <x v="92"/>
  </r>
  <r>
    <x v="0"/>
    <x v="3"/>
    <x v="11"/>
    <n v="539450"/>
    <x v="0"/>
    <s v="Metric Tonnes"/>
    <n v="2019"/>
    <x v="93"/>
    <x v="93"/>
  </r>
  <r>
    <x v="0"/>
    <x v="1"/>
    <x v="1"/>
    <n v="553000"/>
    <x v="0"/>
    <s v="tCO₂e"/>
    <n v="2021"/>
    <x v="94"/>
    <x v="94"/>
  </r>
  <r>
    <x v="0"/>
    <x v="1"/>
    <x v="1"/>
    <n v="566000"/>
    <x v="0"/>
    <s v="tCO₂e"/>
    <n v="2020"/>
    <x v="95"/>
    <x v="95"/>
  </r>
  <r>
    <x v="0"/>
    <x v="3"/>
    <x v="11"/>
    <n v="594211"/>
    <x v="1"/>
    <s v="Metric Tonnes"/>
    <n v="2024"/>
    <x v="96"/>
    <x v="96"/>
  </r>
  <r>
    <x v="0"/>
    <x v="3"/>
    <x v="11"/>
    <n v="708378"/>
    <x v="1"/>
    <s v="Metric Tonnes"/>
    <n v="2023"/>
    <x v="97"/>
    <x v="97"/>
  </r>
  <r>
    <x v="0"/>
    <x v="3"/>
    <x v="11"/>
    <n v="757323"/>
    <x v="1"/>
    <s v="Metric Tonnes"/>
    <n v="2021"/>
    <x v="98"/>
    <x v="98"/>
  </r>
  <r>
    <x v="0"/>
    <x v="3"/>
    <x v="11"/>
    <n v="774097"/>
    <x v="1"/>
    <s v="Metric Tonnes"/>
    <n v="2022"/>
    <x v="99"/>
    <x v="99"/>
  </r>
  <r>
    <x v="0"/>
    <x v="1"/>
    <x v="1"/>
    <n v="808000"/>
    <x v="0"/>
    <s v="tCO₂e"/>
    <n v="2019"/>
    <x v="100"/>
    <x v="100"/>
  </r>
  <r>
    <x v="0"/>
    <x v="3"/>
    <x v="11"/>
    <n v="899709"/>
    <x v="1"/>
    <s v="Metric Tonnes"/>
    <n v="2020"/>
    <x v="101"/>
    <x v="101"/>
  </r>
  <r>
    <x v="0"/>
    <x v="3"/>
    <x v="11"/>
    <n v="913541"/>
    <x v="1"/>
    <s v="Metric Tonnes"/>
    <n v="2019"/>
    <x v="102"/>
    <x v="102"/>
  </r>
  <r>
    <x v="0"/>
    <x v="1"/>
    <x v="1"/>
    <n v="1684000"/>
    <x v="1"/>
    <s v="tCO₂e"/>
    <n v="2023"/>
    <x v="103"/>
    <x v="103"/>
  </r>
  <r>
    <x v="0"/>
    <x v="1"/>
    <x v="1"/>
    <n v="1885216"/>
    <x v="1"/>
    <s v="tCO₂e"/>
    <n v="2022"/>
    <x v="104"/>
    <x v="104"/>
  </r>
  <r>
    <x v="0"/>
    <x v="1"/>
    <x v="1"/>
    <n v="2087017"/>
    <x v="1"/>
    <s v="tCO₂e"/>
    <n v="2021"/>
    <x v="105"/>
    <x v="105"/>
  </r>
  <r>
    <x v="0"/>
    <x v="1"/>
    <x v="1"/>
    <n v="2172374"/>
    <x v="1"/>
    <s v="tCO₂e"/>
    <n v="2020"/>
    <x v="106"/>
    <x v="106"/>
  </r>
  <r>
    <x v="0"/>
    <x v="1"/>
    <x v="12"/>
    <n v="2326787"/>
    <x v="1"/>
    <s v="tCO₂e"/>
    <n v="2023"/>
    <x v="107"/>
    <x v="107"/>
  </r>
  <r>
    <x v="0"/>
    <x v="1"/>
    <x v="13"/>
    <n v="2415000"/>
    <x v="0"/>
    <s v="tCO₂e"/>
    <n v="2023"/>
    <x v="108"/>
    <x v="108"/>
  </r>
  <r>
    <x v="0"/>
    <x v="1"/>
    <x v="13"/>
    <n v="2473000"/>
    <x v="0"/>
    <s v="tCO₂e"/>
    <n v="2024"/>
    <x v="109"/>
    <x v="109"/>
  </r>
  <r>
    <x v="0"/>
    <x v="1"/>
    <x v="13"/>
    <n v="2500000"/>
    <x v="0"/>
    <s v="tCO₂e"/>
    <n v="2021"/>
    <x v="110"/>
    <x v="110"/>
  </r>
  <r>
    <x v="0"/>
    <x v="1"/>
    <x v="13"/>
    <n v="2513000"/>
    <x v="0"/>
    <s v="tCO₂e"/>
    <n v="2019"/>
    <x v="111"/>
    <x v="111"/>
  </r>
  <r>
    <x v="0"/>
    <x v="1"/>
    <x v="13"/>
    <n v="2541000"/>
    <x v="0"/>
    <s v="tCO₂e"/>
    <n v="2022"/>
    <x v="112"/>
    <x v="112"/>
  </r>
  <r>
    <x v="0"/>
    <x v="1"/>
    <x v="13"/>
    <n v="2545000"/>
    <x v="0"/>
    <s v="tCO₂e"/>
    <n v="2020"/>
    <x v="113"/>
    <x v="113"/>
  </r>
  <r>
    <x v="0"/>
    <x v="1"/>
    <x v="12"/>
    <n v="2566943"/>
    <x v="1"/>
    <s v="tCO₂e"/>
    <n v="2022"/>
    <x v="114"/>
    <x v="114"/>
  </r>
  <r>
    <x v="0"/>
    <x v="1"/>
    <x v="12"/>
    <n v="2685509"/>
    <x v="1"/>
    <s v="tCO₂e"/>
    <n v="2021"/>
    <x v="115"/>
    <x v="115"/>
  </r>
  <r>
    <x v="0"/>
    <x v="1"/>
    <x v="1"/>
    <n v="2968004"/>
    <x v="1"/>
    <s v="tCO₂e"/>
    <n v="2019"/>
    <x v="116"/>
    <x v="116"/>
  </r>
  <r>
    <x v="0"/>
    <x v="1"/>
    <x v="12"/>
    <n v="2968004"/>
    <x v="1"/>
    <s v="tCO₂e"/>
    <n v="2019"/>
    <x v="116"/>
    <x v="116"/>
  </r>
  <r>
    <x v="0"/>
    <x v="1"/>
    <x v="12"/>
    <n v="3027961"/>
    <x v="1"/>
    <s v="tCO₂e"/>
    <n v="2020"/>
    <x v="117"/>
    <x v="117"/>
  </r>
  <r>
    <x v="0"/>
    <x v="1"/>
    <x v="6"/>
    <n v="3989000"/>
    <x v="0"/>
    <s v="tCO₂e"/>
    <n v="2024"/>
    <x v="118"/>
    <x v="118"/>
  </r>
  <r>
    <x v="0"/>
    <x v="1"/>
    <x v="6"/>
    <n v="4000000"/>
    <x v="0"/>
    <s v="tCO₂e"/>
    <n v="2023"/>
    <x v="119"/>
    <x v="119"/>
  </r>
  <r>
    <x v="0"/>
    <x v="1"/>
    <x v="6"/>
    <n v="4066000"/>
    <x v="0"/>
    <s v="tCO₂e"/>
    <n v="2019"/>
    <x v="120"/>
    <x v="120"/>
  </r>
  <r>
    <x v="0"/>
    <x v="1"/>
    <x v="6"/>
    <n v="4073000"/>
    <x v="0"/>
    <s v="tCO₂e"/>
    <n v="2020"/>
    <x v="121"/>
    <x v="121"/>
  </r>
  <r>
    <x v="0"/>
    <x v="1"/>
    <x v="6"/>
    <n v="4176000"/>
    <x v="0"/>
    <s v="tCO₂e"/>
    <n v="2021"/>
    <x v="122"/>
    <x v="122"/>
  </r>
  <r>
    <x v="0"/>
    <x v="1"/>
    <x v="6"/>
    <n v="4195000"/>
    <x v="0"/>
    <s v="tCO₂e"/>
    <n v="2022"/>
    <x v="123"/>
    <x v="123"/>
  </r>
  <r>
    <x v="0"/>
    <x v="4"/>
    <x v="14"/>
    <n v="4570757"/>
    <x v="1"/>
    <s v="Tons"/>
    <n v="2024"/>
    <x v="124"/>
    <x v="124"/>
  </r>
  <r>
    <x v="0"/>
    <x v="4"/>
    <x v="14"/>
    <n v="4757773"/>
    <x v="1"/>
    <s v="Tons"/>
    <n v="2023"/>
    <x v="125"/>
    <x v="125"/>
  </r>
  <r>
    <x v="0"/>
    <x v="4"/>
    <x v="14"/>
    <n v="5300000"/>
    <x v="1"/>
    <s v="Tons"/>
    <n v="2020"/>
    <x v="126"/>
    <x v="126"/>
  </r>
  <r>
    <x v="0"/>
    <x v="4"/>
    <x v="14"/>
    <n v="5432613"/>
    <x v="1"/>
    <s v="Tons"/>
    <n v="2019"/>
    <x v="127"/>
    <x v="127"/>
  </r>
  <r>
    <x v="0"/>
    <x v="4"/>
    <x v="14"/>
    <n v="5500000"/>
    <x v="1"/>
    <s v="Tons"/>
    <n v="2022"/>
    <x v="128"/>
    <x v="128"/>
  </r>
  <r>
    <x v="0"/>
    <x v="4"/>
    <x v="14"/>
    <n v="5600000"/>
    <x v="1"/>
    <s v="Tons"/>
    <n v="2021"/>
    <x v="129"/>
    <x v="129"/>
  </r>
  <r>
    <x v="0"/>
    <x v="1"/>
    <x v="13"/>
    <n v="5674000"/>
    <x v="1"/>
    <s v="tCO₂e"/>
    <n v="2024"/>
    <x v="130"/>
    <x v="130"/>
  </r>
  <r>
    <x v="0"/>
    <x v="1"/>
    <x v="13"/>
    <n v="5997083"/>
    <x v="1"/>
    <s v="tCO₂e"/>
    <n v="2023"/>
    <x v="131"/>
    <x v="131"/>
  </r>
  <r>
    <x v="0"/>
    <x v="4"/>
    <x v="14"/>
    <n v="6170000"/>
    <x v="0"/>
    <s v="Tons"/>
    <n v="2019"/>
    <x v="132"/>
    <x v="132"/>
  </r>
  <r>
    <x v="0"/>
    <x v="1"/>
    <x v="13"/>
    <n v="6178533"/>
    <x v="1"/>
    <s v="tCO₂e"/>
    <n v="2020"/>
    <x v="133"/>
    <x v="133"/>
  </r>
  <r>
    <x v="0"/>
    <x v="4"/>
    <x v="14"/>
    <n v="6267000"/>
    <x v="0"/>
    <s v="Tons"/>
    <n v="2020"/>
    <x v="134"/>
    <x v="134"/>
  </r>
  <r>
    <x v="0"/>
    <x v="1"/>
    <x v="13"/>
    <n v="6273921"/>
    <x v="1"/>
    <s v="tCO₂e"/>
    <n v="2022"/>
    <x v="135"/>
    <x v="135"/>
  </r>
  <r>
    <x v="0"/>
    <x v="1"/>
    <x v="13"/>
    <n v="6411167"/>
    <x v="1"/>
    <s v="tCO₂e"/>
    <n v="2019"/>
    <x v="136"/>
    <x v="136"/>
  </r>
  <r>
    <x v="0"/>
    <x v="4"/>
    <x v="14"/>
    <n v="6493000"/>
    <x v="0"/>
    <s v="Tons"/>
    <n v="2023"/>
    <x v="137"/>
    <x v="137"/>
  </r>
  <r>
    <x v="0"/>
    <x v="4"/>
    <x v="14"/>
    <n v="6510000"/>
    <x v="0"/>
    <s v="Tons"/>
    <n v="2021"/>
    <x v="138"/>
    <x v="138"/>
  </r>
  <r>
    <x v="0"/>
    <x v="1"/>
    <x v="13"/>
    <n v="6537030"/>
    <x v="1"/>
    <s v="tCO₂e"/>
    <n v="2021"/>
    <x v="139"/>
    <x v="139"/>
  </r>
  <r>
    <x v="0"/>
    <x v="4"/>
    <x v="14"/>
    <n v="6716000"/>
    <x v="0"/>
    <s v="Tons"/>
    <n v="2024"/>
    <x v="140"/>
    <x v="140"/>
  </r>
  <r>
    <x v="0"/>
    <x v="4"/>
    <x v="14"/>
    <n v="6777000"/>
    <x v="0"/>
    <s v="Tons"/>
    <n v="2022"/>
    <x v="141"/>
    <x v="141"/>
  </r>
  <r>
    <x v="0"/>
    <x v="1"/>
    <x v="15"/>
    <n v="9452000"/>
    <x v="1"/>
    <s v="tCO₂e"/>
    <n v="2024"/>
    <x v="142"/>
    <x v="142"/>
  </r>
  <r>
    <x v="0"/>
    <x v="1"/>
    <x v="15"/>
    <n v="9653000"/>
    <x v="1"/>
    <s v="tCO₂e"/>
    <n v="2023"/>
    <x v="143"/>
    <x v="143"/>
  </r>
  <r>
    <x v="0"/>
    <x v="1"/>
    <x v="15"/>
    <n v="11399000"/>
    <x v="1"/>
    <s v="tCO₂e"/>
    <n v="2019"/>
    <x v="144"/>
    <x v="144"/>
  </r>
  <r>
    <x v="0"/>
    <x v="1"/>
    <x v="6"/>
    <n v="15358000"/>
    <x v="1"/>
    <s v="tCO₂e"/>
    <n v="2024"/>
    <x v="145"/>
    <x v="145"/>
  </r>
  <r>
    <x v="0"/>
    <x v="1"/>
    <x v="6"/>
    <n v="16451000"/>
    <x v="1"/>
    <s v="tCO₂e"/>
    <n v="2023"/>
    <x v="146"/>
    <x v="146"/>
  </r>
  <r>
    <x v="0"/>
    <x v="1"/>
    <x v="6"/>
    <n v="18444649"/>
    <x v="1"/>
    <s v="tCO₂e"/>
    <n v="2022"/>
    <x v="147"/>
    <x v="147"/>
  </r>
  <r>
    <x v="0"/>
    <x v="1"/>
    <x v="6"/>
    <n v="19004726"/>
    <x v="1"/>
    <s v="tCO₂e"/>
    <n v="2021"/>
    <x v="148"/>
    <x v="148"/>
  </r>
  <r>
    <x v="0"/>
    <x v="1"/>
    <x v="6"/>
    <n v="19391374"/>
    <x v="1"/>
    <s v="tCO₂e"/>
    <n v="2020"/>
    <x v="149"/>
    <x v="149"/>
  </r>
  <r>
    <x v="0"/>
    <x v="2"/>
    <x v="16"/>
    <n v="114500000"/>
    <x v="0"/>
    <s v="m3"/>
    <n v="2024"/>
    <x v="150"/>
    <x v="150"/>
  </r>
  <r>
    <x v="0"/>
    <x v="2"/>
    <x v="16"/>
    <n v="121200000"/>
    <x v="0"/>
    <s v="m3"/>
    <n v="2023"/>
    <x v="151"/>
    <x v="151"/>
  </r>
  <r>
    <x v="0"/>
    <x v="2"/>
    <x v="16"/>
    <n v="125400000"/>
    <x v="0"/>
    <s v="m3"/>
    <n v="2019"/>
    <x v="152"/>
    <x v="152"/>
  </r>
  <r>
    <x v="0"/>
    <x v="2"/>
    <x v="16"/>
    <n v="126300000"/>
    <x v="0"/>
    <s v="m3"/>
    <n v="2021"/>
    <x v="153"/>
    <x v="153"/>
  </r>
  <r>
    <x v="0"/>
    <x v="2"/>
    <x v="16"/>
    <n v="126900000"/>
    <x v="0"/>
    <s v="m3"/>
    <n v="2022"/>
    <x v="154"/>
    <x v="154"/>
  </r>
  <r>
    <x v="0"/>
    <x v="2"/>
    <x v="17"/>
    <n v="128900000"/>
    <x v="0"/>
    <s v="m3"/>
    <n v="2024"/>
    <x v="155"/>
    <x v="155"/>
  </r>
  <r>
    <x v="0"/>
    <x v="2"/>
    <x v="16"/>
    <n v="130800000.00000001"/>
    <x v="0"/>
    <s v="m3"/>
    <n v="2020"/>
    <x v="156"/>
    <x v="156"/>
  </r>
  <r>
    <x v="0"/>
    <x v="2"/>
    <x v="17"/>
    <n v="131699999.99999999"/>
    <x v="0"/>
    <s v="m3"/>
    <n v="2023"/>
    <x v="157"/>
    <x v="157"/>
  </r>
  <r>
    <x v="0"/>
    <x v="2"/>
    <x v="17"/>
    <n v="137100000"/>
    <x v="0"/>
    <s v="m3"/>
    <n v="2019"/>
    <x v="158"/>
    <x v="158"/>
  </r>
  <r>
    <x v="0"/>
    <x v="2"/>
    <x v="17"/>
    <n v="140100000"/>
    <x v="0"/>
    <s v="m3"/>
    <n v="2021"/>
    <x v="159"/>
    <x v="159"/>
  </r>
  <r>
    <x v="0"/>
    <x v="2"/>
    <x v="17"/>
    <n v="141100000"/>
    <x v="0"/>
    <s v="m3"/>
    <n v="2022"/>
    <x v="160"/>
    <x v="160"/>
  </r>
  <r>
    <x v="0"/>
    <x v="2"/>
    <x v="17"/>
    <n v="144300000"/>
    <x v="0"/>
    <s v="m3"/>
    <n v="2020"/>
    <x v="161"/>
    <x v="161"/>
  </r>
  <r>
    <x v="0"/>
    <x v="2"/>
    <x v="16"/>
    <n v="445060000"/>
    <x v="1"/>
    <s v="m3"/>
    <n v="2024"/>
    <x v="162"/>
    <x v="162"/>
  </r>
  <r>
    <x v="0"/>
    <x v="2"/>
    <x v="17"/>
    <n v="470201000"/>
    <x v="1"/>
    <s v="m3"/>
    <n v="2024"/>
    <x v="163"/>
    <x v="163"/>
  </r>
  <r>
    <x v="0"/>
    <x v="2"/>
    <x v="16"/>
    <n v="483366000"/>
    <x v="1"/>
    <s v="m3"/>
    <n v="2023"/>
    <x v="164"/>
    <x v="164"/>
  </r>
  <r>
    <x v="0"/>
    <x v="2"/>
    <x v="16"/>
    <n v="504311000"/>
    <x v="1"/>
    <s v="m3"/>
    <n v="2022"/>
    <x v="165"/>
    <x v="165"/>
  </r>
  <r>
    <x v="0"/>
    <x v="2"/>
    <x v="16"/>
    <n v="505139000"/>
    <x v="1"/>
    <s v="m3"/>
    <n v="2019"/>
    <x v="166"/>
    <x v="166"/>
  </r>
  <r>
    <x v="0"/>
    <x v="2"/>
    <x v="16"/>
    <n v="521228000"/>
    <x v="1"/>
    <s v="m3"/>
    <n v="2020"/>
    <x v="167"/>
    <x v="167"/>
  </r>
  <r>
    <x v="0"/>
    <x v="2"/>
    <x v="17"/>
    <n v="525124000"/>
    <x v="1"/>
    <s v="m3"/>
    <n v="2023"/>
    <x v="168"/>
    <x v="168"/>
  </r>
  <r>
    <x v="0"/>
    <x v="2"/>
    <x v="16"/>
    <n v="533755000"/>
    <x v="1"/>
    <s v="m3"/>
    <n v="2021"/>
    <x v="169"/>
    <x v="169"/>
  </r>
  <r>
    <x v="0"/>
    <x v="2"/>
    <x v="17"/>
    <n v="567258000"/>
    <x v="1"/>
    <s v="m3"/>
    <n v="2022"/>
    <x v="170"/>
    <x v="170"/>
  </r>
  <r>
    <x v="0"/>
    <x v="2"/>
    <x v="17"/>
    <n v="575342000"/>
    <x v="1"/>
    <s v="m3"/>
    <n v="2019"/>
    <x v="171"/>
    <x v="171"/>
  </r>
  <r>
    <x v="0"/>
    <x v="2"/>
    <x v="17"/>
    <n v="581276000"/>
    <x v="1"/>
    <s v="m3"/>
    <n v="2021"/>
    <x v="172"/>
    <x v="172"/>
  </r>
  <r>
    <x v="0"/>
    <x v="2"/>
    <x v="17"/>
    <n v="588952000"/>
    <x v="1"/>
    <s v="m3"/>
    <n v="2020"/>
    <x v="173"/>
    <x v="173"/>
  </r>
  <r>
    <x v="1"/>
    <x v="5"/>
    <x v="18"/>
    <n v="14"/>
    <x v="1"/>
    <s v="Hours/employee"/>
    <n v="2024"/>
    <x v="174"/>
    <x v="174"/>
  </r>
  <r>
    <x v="1"/>
    <x v="5"/>
    <x v="18"/>
    <n v="22"/>
    <x v="0"/>
    <s v="Hours/employee"/>
    <n v="2019"/>
    <x v="175"/>
    <x v="175"/>
  </r>
  <r>
    <x v="1"/>
    <x v="5"/>
    <x v="18"/>
    <n v="11"/>
    <x v="1"/>
    <s v="Hours/employee"/>
    <n v="2023"/>
    <x v="176"/>
    <x v="176"/>
  </r>
  <r>
    <x v="1"/>
    <x v="6"/>
    <x v="19"/>
    <n v="46237"/>
    <x v="0"/>
    <s v="Headcount"/>
    <n v="2019"/>
    <x v="177"/>
    <x v="177"/>
  </r>
  <r>
    <x v="1"/>
    <x v="5"/>
    <x v="18"/>
    <n v="8"/>
    <x v="1"/>
    <s v="Hours/employee"/>
    <n v="2022"/>
    <x v="178"/>
    <x v="178"/>
  </r>
  <r>
    <x v="1"/>
    <x v="7"/>
    <x v="20"/>
    <n v="0.84"/>
    <x v="0"/>
    <s v="Rate per 200k hrs"/>
    <n v="2019"/>
    <x v="179"/>
    <x v="179"/>
  </r>
  <r>
    <x v="1"/>
    <x v="5"/>
    <x v="18"/>
    <n v="11"/>
    <x v="1"/>
    <s v="Hours/employee"/>
    <n v="2021"/>
    <x v="180"/>
    <x v="180"/>
  </r>
  <r>
    <x v="1"/>
    <x v="5"/>
    <x v="21"/>
    <n v="843.56999999999994"/>
    <x v="0"/>
    <s v="Hours"/>
    <n v="2019"/>
    <x v="181"/>
    <x v="181"/>
  </r>
  <r>
    <x v="1"/>
    <x v="6"/>
    <x v="22"/>
    <n v="4842"/>
    <x v="0"/>
    <s v="employees"/>
    <n v="2019"/>
    <x v="182"/>
    <x v="182"/>
  </r>
  <r>
    <x v="1"/>
    <x v="8"/>
    <x v="23"/>
    <n v="0.21"/>
    <x v="0"/>
    <s v="%"/>
    <n v="2019"/>
    <x v="183"/>
    <x v="183"/>
  </r>
  <r>
    <x v="1"/>
    <x v="7"/>
    <x v="20"/>
    <n v="1.34"/>
    <x v="1"/>
    <s v="Rate per 200k hrs"/>
    <n v="2024"/>
    <x v="184"/>
    <x v="184"/>
  </r>
  <r>
    <x v="1"/>
    <x v="7"/>
    <x v="20"/>
    <n v="1.52"/>
    <x v="1"/>
    <s v="Rate per 200k hrs"/>
    <n v="2023"/>
    <x v="185"/>
    <x v="185"/>
  </r>
  <r>
    <x v="1"/>
    <x v="7"/>
    <x v="20"/>
    <n v="1.69"/>
    <x v="1"/>
    <s v="Rate per 200k hrs"/>
    <n v="2022"/>
    <x v="186"/>
    <x v="186"/>
  </r>
  <r>
    <x v="1"/>
    <x v="7"/>
    <x v="20"/>
    <n v="1.61"/>
    <x v="1"/>
    <s v="Rate per 200k hrs"/>
    <n v="2021"/>
    <x v="187"/>
    <x v="187"/>
  </r>
  <r>
    <x v="1"/>
    <x v="7"/>
    <x v="20"/>
    <n v="1.56"/>
    <x v="1"/>
    <s v="Rate per 200k hrs"/>
    <n v="2020"/>
    <x v="188"/>
    <x v="188"/>
  </r>
  <r>
    <x v="1"/>
    <x v="7"/>
    <x v="20"/>
    <n v="1.68"/>
    <x v="1"/>
    <s v="Rate per 200k hrs"/>
    <n v="2019"/>
    <x v="189"/>
    <x v="189"/>
  </r>
  <r>
    <x v="1"/>
    <x v="6"/>
    <x v="19"/>
    <n v="50017"/>
    <x v="1"/>
    <s v="Headcount"/>
    <n v="2024"/>
    <x v="190"/>
    <x v="190"/>
  </r>
  <r>
    <x v="1"/>
    <x v="8"/>
    <x v="24"/>
    <n v="8785.0300000000007"/>
    <x v="0"/>
    <s v="employees"/>
    <n v="2019"/>
    <x v="191"/>
    <x v="191"/>
  </r>
  <r>
    <x v="1"/>
    <x v="6"/>
    <x v="19"/>
    <n v="54075"/>
    <x v="1"/>
    <s v="Headcount"/>
    <n v="2023"/>
    <x v="192"/>
    <x v="192"/>
  </r>
  <r>
    <x v="1"/>
    <x v="5"/>
    <x v="18"/>
    <n v="15"/>
    <x v="0"/>
    <s v="Hours/employee"/>
    <n v="2020"/>
    <x v="193"/>
    <x v="193"/>
  </r>
  <r>
    <x v="1"/>
    <x v="6"/>
    <x v="19"/>
    <n v="49536"/>
    <x v="1"/>
    <s v="Headcount"/>
    <n v="2022"/>
    <x v="194"/>
    <x v="194"/>
  </r>
  <r>
    <x v="1"/>
    <x v="6"/>
    <x v="19"/>
    <n v="46688"/>
    <x v="0"/>
    <s v="Headcount"/>
    <n v="2020"/>
    <x v="195"/>
    <x v="195"/>
  </r>
  <r>
    <x v="1"/>
    <x v="6"/>
    <x v="19"/>
    <n v="49257"/>
    <x v="1"/>
    <s v="Headcount"/>
    <n v="2021"/>
    <x v="196"/>
    <x v="196"/>
  </r>
  <r>
    <x v="1"/>
    <x v="7"/>
    <x v="20"/>
    <n v="0.6"/>
    <x v="0"/>
    <s v="Rate per 200k hrs"/>
    <n v="2020"/>
    <x v="197"/>
    <x v="197"/>
  </r>
  <r>
    <x v="1"/>
    <x v="6"/>
    <x v="19"/>
    <n v="49300"/>
    <x v="1"/>
    <s v="Headcount"/>
    <n v="2020"/>
    <x v="198"/>
    <x v="198"/>
  </r>
  <r>
    <x v="1"/>
    <x v="5"/>
    <x v="21"/>
    <n v="5162891184"/>
    <x v="0"/>
    <s v="Hours"/>
    <n v="2020"/>
    <x v="199"/>
    <x v="199"/>
  </r>
  <r>
    <x v="1"/>
    <x v="6"/>
    <x v="22"/>
    <n v="4017"/>
    <x v="0"/>
    <s v="employees"/>
    <n v="2020"/>
    <x v="200"/>
    <x v="200"/>
  </r>
  <r>
    <x v="1"/>
    <x v="8"/>
    <x v="23"/>
    <n v="0.22"/>
    <x v="0"/>
    <s v="%"/>
    <n v="2020"/>
    <x v="201"/>
    <x v="201"/>
  </r>
  <r>
    <x v="1"/>
    <x v="8"/>
    <x v="24"/>
    <n v="8870.7199999999993"/>
    <x v="0"/>
    <s v="employees"/>
    <n v="2020"/>
    <x v="202"/>
    <x v="202"/>
  </r>
  <r>
    <x v="1"/>
    <x v="5"/>
    <x v="18"/>
    <n v="18.7"/>
    <x v="0"/>
    <s v="Hours/employee"/>
    <n v="2021"/>
    <x v="203"/>
    <x v="203"/>
  </r>
  <r>
    <x v="1"/>
    <x v="6"/>
    <x v="19"/>
    <n v="48045"/>
    <x v="0"/>
    <s v="Headcount"/>
    <n v="2021"/>
    <x v="204"/>
    <x v="204"/>
  </r>
  <r>
    <x v="1"/>
    <x v="7"/>
    <x v="20"/>
    <n v="0.59"/>
    <x v="0"/>
    <s v="Rate per 200k hrs"/>
    <n v="2021"/>
    <x v="205"/>
    <x v="205"/>
  </r>
  <r>
    <x v="1"/>
    <x v="5"/>
    <x v="21"/>
    <n v="506.14199999999994"/>
    <x v="0"/>
    <s v="Hours"/>
    <n v="2021"/>
    <x v="206"/>
    <x v="206"/>
  </r>
  <r>
    <x v="1"/>
    <x v="5"/>
    <x v="21"/>
    <n v="602035"/>
    <x v="1"/>
    <s v="Hours"/>
    <n v="2024"/>
    <x v="207"/>
    <x v="207"/>
  </r>
  <r>
    <x v="1"/>
    <x v="5"/>
    <x v="21"/>
    <n v="557244"/>
    <x v="1"/>
    <s v="Hours"/>
    <n v="2023"/>
    <x v="208"/>
    <x v="208"/>
  </r>
  <r>
    <x v="1"/>
    <x v="5"/>
    <x v="21"/>
    <n v="335505"/>
    <x v="1"/>
    <s v="Hours"/>
    <n v="2022"/>
    <x v="209"/>
    <x v="209"/>
  </r>
  <r>
    <x v="1"/>
    <x v="5"/>
    <x v="21"/>
    <n v="347459"/>
    <x v="1"/>
    <s v="Hours"/>
    <n v="2021"/>
    <x v="210"/>
    <x v="210"/>
  </r>
  <r>
    <x v="1"/>
    <x v="5"/>
    <x v="21"/>
    <n v="255410"/>
    <x v="1"/>
    <s v="Hours"/>
    <n v="2020"/>
    <x v="211"/>
    <x v="211"/>
  </r>
  <r>
    <x v="1"/>
    <x v="6"/>
    <x v="22"/>
    <n v="4919"/>
    <x v="0"/>
    <s v="employees"/>
    <n v="2021"/>
    <x v="212"/>
    <x v="212"/>
  </r>
  <r>
    <x v="1"/>
    <x v="8"/>
    <x v="23"/>
    <n v="0.22"/>
    <x v="0"/>
    <s v="%"/>
    <n v="2021"/>
    <x v="213"/>
    <x v="213"/>
  </r>
  <r>
    <x v="1"/>
    <x v="8"/>
    <x v="24"/>
    <n v="9609"/>
    <x v="0"/>
    <s v="employees"/>
    <n v="2021"/>
    <x v="214"/>
    <x v="214"/>
  </r>
  <r>
    <x v="1"/>
    <x v="5"/>
    <x v="18"/>
    <n v="21"/>
    <x v="0"/>
    <s v="Hours/employee"/>
    <n v="2022"/>
    <x v="215"/>
    <x v="215"/>
  </r>
  <r>
    <x v="1"/>
    <x v="6"/>
    <x v="19"/>
    <n v="48058"/>
    <x v="0"/>
    <s v="Headcount"/>
    <n v="2022"/>
    <x v="216"/>
    <x v="216"/>
  </r>
  <r>
    <x v="1"/>
    <x v="7"/>
    <x v="20"/>
    <n v="0.51"/>
    <x v="0"/>
    <s v="Rate per 200k hrs"/>
    <n v="2022"/>
    <x v="217"/>
    <x v="217"/>
  </r>
  <r>
    <x v="1"/>
    <x v="6"/>
    <x v="22"/>
    <n v="15934"/>
    <x v="1"/>
    <s v="employees"/>
    <n v="2024"/>
    <x v="218"/>
    <x v="218"/>
  </r>
  <r>
    <x v="1"/>
    <x v="6"/>
    <x v="22"/>
    <n v="17863"/>
    <x v="1"/>
    <s v="employees"/>
    <n v="2023"/>
    <x v="219"/>
    <x v="219"/>
  </r>
  <r>
    <x v="1"/>
    <x v="6"/>
    <x v="22"/>
    <n v="14935"/>
    <x v="1"/>
    <s v="employees"/>
    <n v="2022"/>
    <x v="220"/>
    <x v="220"/>
  </r>
  <r>
    <x v="1"/>
    <x v="6"/>
    <x v="22"/>
    <n v="11753"/>
    <x v="1"/>
    <s v="employees"/>
    <n v="2021"/>
    <x v="221"/>
    <x v="221"/>
  </r>
  <r>
    <x v="1"/>
    <x v="5"/>
    <x v="21"/>
    <n v="39217.919999999998"/>
    <x v="0"/>
    <s v="Hours"/>
    <n v="2022"/>
    <x v="222"/>
    <x v="222"/>
  </r>
  <r>
    <x v="1"/>
    <x v="6"/>
    <x v="22"/>
    <n v="5421"/>
    <x v="0"/>
    <s v="employees"/>
    <n v="2022"/>
    <x v="223"/>
    <x v="223"/>
  </r>
  <r>
    <x v="1"/>
    <x v="8"/>
    <x v="23"/>
    <n v="0.23499999999999999"/>
    <x v="0"/>
    <s v="%"/>
    <n v="2022"/>
    <x v="224"/>
    <x v="224"/>
  </r>
  <r>
    <x v="1"/>
    <x v="8"/>
    <x v="24"/>
    <n v="9611.6"/>
    <x v="0"/>
    <s v="employees"/>
    <n v="2022"/>
    <x v="225"/>
    <x v="225"/>
  </r>
  <r>
    <x v="1"/>
    <x v="5"/>
    <x v="18"/>
    <n v="22"/>
    <x v="0"/>
    <s v="Hours/employee"/>
    <n v="2023"/>
    <x v="226"/>
    <x v="226"/>
  </r>
  <r>
    <x v="1"/>
    <x v="6"/>
    <x v="19"/>
    <n v="46982"/>
    <x v="0"/>
    <s v="Headcount"/>
    <n v="2023"/>
    <x v="227"/>
    <x v="227"/>
  </r>
  <r>
    <x v="1"/>
    <x v="7"/>
    <x v="20"/>
    <n v="0.53"/>
    <x v="0"/>
    <s v="Rate per 200k hrs"/>
    <n v="2023"/>
    <x v="228"/>
    <x v="228"/>
  </r>
  <r>
    <x v="1"/>
    <x v="5"/>
    <x v="21"/>
    <n v="693555"/>
    <x v="0"/>
    <s v="Hours"/>
    <n v="2023"/>
    <x v="229"/>
    <x v="229"/>
  </r>
  <r>
    <x v="1"/>
    <x v="6"/>
    <x v="22"/>
    <n v="5221"/>
    <x v="0"/>
    <s v="employees"/>
    <n v="2023"/>
    <x v="230"/>
    <x v="230"/>
  </r>
  <r>
    <x v="1"/>
    <x v="8"/>
    <x v="23"/>
    <n v="0.251"/>
    <x v="0"/>
    <s v="%"/>
    <n v="2023"/>
    <x v="231"/>
    <x v="231"/>
  </r>
  <r>
    <x v="1"/>
    <x v="8"/>
    <x v="24"/>
    <n v="9678.2919999999995"/>
    <x v="0"/>
    <s v="employees"/>
    <n v="2023"/>
    <x v="232"/>
    <x v="232"/>
  </r>
  <r>
    <x v="1"/>
    <x v="5"/>
    <x v="18"/>
    <n v="24"/>
    <x v="0"/>
    <s v="Hours/employee"/>
    <n v="2024"/>
    <x v="233"/>
    <x v="233"/>
  </r>
  <r>
    <x v="1"/>
    <x v="8"/>
    <x v="24"/>
    <n v="12352"/>
    <x v="1"/>
    <s v="employees"/>
    <n v="2024"/>
    <x v="234"/>
    <x v="234"/>
  </r>
  <r>
    <x v="1"/>
    <x v="6"/>
    <x v="19"/>
    <n v="46674"/>
    <x v="0"/>
    <s v="Headcount"/>
    <n v="2024"/>
    <x v="235"/>
    <x v="235"/>
  </r>
  <r>
    <x v="1"/>
    <x v="8"/>
    <x v="24"/>
    <n v="12735"/>
    <x v="1"/>
    <s v="employees"/>
    <n v="2023"/>
    <x v="236"/>
    <x v="236"/>
  </r>
  <r>
    <x v="1"/>
    <x v="7"/>
    <x v="20"/>
    <n v="0.46"/>
    <x v="0"/>
    <s v="Rate per 200k hrs"/>
    <n v="2024"/>
    <x v="237"/>
    <x v="237"/>
  </r>
  <r>
    <x v="1"/>
    <x v="8"/>
    <x v="24"/>
    <n v="11059"/>
    <x v="1"/>
    <s v="employees"/>
    <n v="2022"/>
    <x v="238"/>
    <x v="238"/>
  </r>
  <r>
    <x v="1"/>
    <x v="5"/>
    <x v="21"/>
    <n v="193270.66"/>
    <x v="0"/>
    <s v="Hours"/>
    <n v="2024"/>
    <x v="239"/>
    <x v="239"/>
  </r>
  <r>
    <x v="1"/>
    <x v="8"/>
    <x v="24"/>
    <n v="10525"/>
    <x v="1"/>
    <s v="employees"/>
    <n v="2021"/>
    <x v="240"/>
    <x v="240"/>
  </r>
  <r>
    <x v="1"/>
    <x v="6"/>
    <x v="22"/>
    <n v="5028"/>
    <x v="0"/>
    <s v="employees"/>
    <n v="2024"/>
    <x v="241"/>
    <x v="241"/>
  </r>
  <r>
    <x v="1"/>
    <x v="8"/>
    <x v="23"/>
    <n v="0.26700000000000002"/>
    <x v="0"/>
    <s v="%"/>
    <n v="2024"/>
    <x v="242"/>
    <x v="242"/>
  </r>
  <r>
    <x v="1"/>
    <x v="8"/>
    <x v="24"/>
    <n v="9894.887999999999"/>
    <x v="0"/>
    <s v="employees"/>
    <n v="2024"/>
    <x v="243"/>
    <x v="243"/>
  </r>
  <r>
    <x v="2"/>
    <x v="9"/>
    <x v="25"/>
    <s v="Yes"/>
    <x v="2"/>
    <m/>
    <n v="2024"/>
    <x v="244"/>
    <x v="244"/>
  </r>
  <r>
    <x v="2"/>
    <x v="9"/>
    <x v="25"/>
    <s v="Yes"/>
    <x v="1"/>
    <m/>
    <n v="2023"/>
    <x v="244"/>
    <x v="244"/>
  </r>
  <r>
    <x v="2"/>
    <x v="9"/>
    <x v="25"/>
    <s v="Yes"/>
    <x v="0"/>
    <m/>
    <n v="2023"/>
    <x v="244"/>
    <x v="244"/>
  </r>
  <r>
    <x v="2"/>
    <x v="9"/>
    <x v="25"/>
    <s v="Yes"/>
    <x v="1"/>
    <m/>
    <n v="2022"/>
    <x v="244"/>
    <x v="244"/>
  </r>
  <r>
    <x v="2"/>
    <x v="9"/>
    <x v="25"/>
    <s v="Yes"/>
    <x v="0"/>
    <m/>
    <n v="2022"/>
    <x v="244"/>
    <x v="244"/>
  </r>
  <r>
    <x v="2"/>
    <x v="9"/>
    <x v="25"/>
    <s v="Yes"/>
    <x v="1"/>
    <m/>
    <n v="2021"/>
    <x v="244"/>
    <x v="244"/>
  </r>
  <r>
    <x v="2"/>
    <x v="9"/>
    <x v="25"/>
    <s v="Yes"/>
    <x v="0"/>
    <m/>
    <n v="2021"/>
    <x v="244"/>
    <x v="244"/>
  </r>
  <r>
    <x v="2"/>
    <x v="9"/>
    <x v="25"/>
    <s v="Yes"/>
    <x v="1"/>
    <m/>
    <n v="2020"/>
    <x v="244"/>
    <x v="244"/>
  </r>
  <r>
    <x v="2"/>
    <x v="9"/>
    <x v="25"/>
    <s v="Yes"/>
    <x v="0"/>
    <m/>
    <n v="2020"/>
    <x v="244"/>
    <x v="244"/>
  </r>
  <r>
    <x v="2"/>
    <x v="9"/>
    <x v="25"/>
    <s v="Yes"/>
    <x v="1"/>
    <m/>
    <n v="2019"/>
    <x v="244"/>
    <x v="244"/>
  </r>
  <r>
    <x v="2"/>
    <x v="9"/>
    <x v="25"/>
    <s v="Yes"/>
    <x v="0"/>
    <m/>
    <n v="2019"/>
    <x v="244"/>
    <x v="244"/>
  </r>
  <r>
    <x v="2"/>
    <x v="10"/>
    <x v="26"/>
    <n v="14"/>
    <x v="2"/>
    <s v="Directors"/>
    <n v="2024"/>
    <x v="244"/>
    <x v="244"/>
  </r>
  <r>
    <x v="2"/>
    <x v="10"/>
    <x v="27"/>
    <n v="12"/>
    <x v="2"/>
    <s v="Directors"/>
    <n v="2024"/>
    <x v="244"/>
    <x v="244"/>
  </r>
  <r>
    <x v="2"/>
    <x v="10"/>
    <x v="28"/>
    <n v="0.8571428571428571"/>
    <x v="2"/>
    <s v="%"/>
    <n v="2024"/>
    <x v="244"/>
    <x v="244"/>
  </r>
  <r>
    <x v="2"/>
    <x v="11"/>
    <x v="29"/>
    <s v="Yes"/>
    <x v="2"/>
    <m/>
    <n v="2024"/>
    <x v="244"/>
    <x v="244"/>
  </r>
  <r>
    <x v="2"/>
    <x v="11"/>
    <x v="29"/>
    <s v="Yes"/>
    <x v="1"/>
    <m/>
    <n v="2023"/>
    <x v="244"/>
    <x v="244"/>
  </r>
  <r>
    <x v="2"/>
    <x v="11"/>
    <x v="29"/>
    <s v="Yes"/>
    <x v="0"/>
    <m/>
    <n v="2023"/>
    <x v="244"/>
    <x v="244"/>
  </r>
  <r>
    <x v="2"/>
    <x v="11"/>
    <x v="29"/>
    <s v="Yes"/>
    <x v="1"/>
    <m/>
    <n v="2022"/>
    <x v="244"/>
    <x v="244"/>
  </r>
  <r>
    <x v="2"/>
    <x v="11"/>
    <x v="29"/>
    <s v="Yes"/>
    <x v="0"/>
    <m/>
    <n v="2022"/>
    <x v="244"/>
    <x v="244"/>
  </r>
  <r>
    <x v="2"/>
    <x v="11"/>
    <x v="29"/>
    <s v="Yes"/>
    <x v="1"/>
    <m/>
    <n v="2021"/>
    <x v="244"/>
    <x v="244"/>
  </r>
  <r>
    <x v="2"/>
    <x v="11"/>
    <x v="29"/>
    <s v="Yes"/>
    <x v="0"/>
    <m/>
    <n v="2021"/>
    <x v="244"/>
    <x v="244"/>
  </r>
  <r>
    <x v="2"/>
    <x v="11"/>
    <x v="29"/>
    <s v="Yes"/>
    <x v="1"/>
    <m/>
    <n v="2020"/>
    <x v="244"/>
    <x v="244"/>
  </r>
  <r>
    <x v="2"/>
    <x v="11"/>
    <x v="29"/>
    <s v="Yes"/>
    <x v="0"/>
    <m/>
    <n v="2020"/>
    <x v="244"/>
    <x v="244"/>
  </r>
  <r>
    <x v="2"/>
    <x v="11"/>
    <x v="29"/>
    <s v="Yes"/>
    <x v="1"/>
    <m/>
    <n v="2019"/>
    <x v="244"/>
    <x v="244"/>
  </r>
  <r>
    <x v="2"/>
    <x v="11"/>
    <x v="29"/>
    <s v="Yes"/>
    <x v="0"/>
    <m/>
    <n v="2019"/>
    <x v="244"/>
    <x v="244"/>
  </r>
  <r>
    <x v="2"/>
    <x v="10"/>
    <x v="30"/>
    <n v="0.43"/>
    <x v="2"/>
    <s v="%"/>
    <n v="2024"/>
    <x v="244"/>
    <x v="244"/>
  </r>
  <r>
    <x v="2"/>
    <x v="10"/>
    <x v="31"/>
    <n v="63.5"/>
    <x v="2"/>
    <s v="Years"/>
    <n v="2024"/>
    <x v="244"/>
    <x v="244"/>
  </r>
  <r>
    <x v="3"/>
    <x v="12"/>
    <x v="32"/>
    <n v="6954000"/>
    <x v="0"/>
    <s v="Tons"/>
    <n v="2019"/>
    <x v="245"/>
    <x v="245"/>
  </r>
  <r>
    <x v="3"/>
    <x v="12"/>
    <x v="32"/>
    <n v="15218523"/>
    <x v="1"/>
    <s v="Tons"/>
    <n v="2019"/>
    <x v="246"/>
    <x v="246"/>
  </r>
  <r>
    <x v="3"/>
    <x v="12"/>
    <x v="33"/>
    <n v="7396200"/>
    <x v="0"/>
    <s v="Tons"/>
    <n v="2019"/>
    <x v="247"/>
    <x v="247"/>
  </r>
  <r>
    <x v="3"/>
    <x v="12"/>
    <x v="34"/>
    <n v="14350200"/>
    <x v="0"/>
    <s v="Tons"/>
    <n v="2019"/>
    <x v="248"/>
    <x v="248"/>
  </r>
  <r>
    <x v="3"/>
    <x v="12"/>
    <x v="32"/>
    <n v="14463318"/>
    <x v="1"/>
    <s v="Tons"/>
    <n v="2020"/>
    <x v="249"/>
    <x v="249"/>
  </r>
  <r>
    <x v="3"/>
    <x v="12"/>
    <x v="32"/>
    <n v="7049000"/>
    <x v="0"/>
    <s v="Tons"/>
    <n v="2020"/>
    <x v="250"/>
    <x v="250"/>
  </r>
  <r>
    <x v="3"/>
    <x v="12"/>
    <x v="33"/>
    <n v="7461140"/>
    <x v="0"/>
    <s v="Tons"/>
    <n v="2020"/>
    <x v="251"/>
    <x v="251"/>
  </r>
  <r>
    <x v="3"/>
    <x v="12"/>
    <x v="34"/>
    <n v="14510140"/>
    <x v="0"/>
    <s v="Tons"/>
    <n v="2020"/>
    <x v="252"/>
    <x v="252"/>
  </r>
  <r>
    <x v="3"/>
    <x v="12"/>
    <x v="32"/>
    <n v="14776992"/>
    <x v="1"/>
    <s v="Tons"/>
    <n v="2021"/>
    <x v="253"/>
    <x v="253"/>
  </r>
  <r>
    <x v="3"/>
    <x v="12"/>
    <x v="32"/>
    <n v="7282000"/>
    <x v="0"/>
    <s v="Tons"/>
    <n v="2021"/>
    <x v="254"/>
    <x v="254"/>
  </r>
  <r>
    <x v="3"/>
    <x v="12"/>
    <x v="33"/>
    <n v="8055900"/>
    <x v="0"/>
    <s v="Tons"/>
    <n v="2021"/>
    <x v="255"/>
    <x v="255"/>
  </r>
  <r>
    <x v="3"/>
    <x v="12"/>
    <x v="34"/>
    <n v="15337900"/>
    <x v="0"/>
    <s v="Tons"/>
    <n v="2021"/>
    <x v="256"/>
    <x v="256"/>
  </r>
  <r>
    <x v="3"/>
    <x v="12"/>
    <x v="32"/>
    <n v="14437610"/>
    <x v="1"/>
    <s v="Tons"/>
    <n v="2022"/>
    <x v="257"/>
    <x v="257"/>
  </r>
  <r>
    <x v="3"/>
    <x v="12"/>
    <x v="32"/>
    <n v="7523000"/>
    <x v="0"/>
    <s v="Tons"/>
    <n v="2022"/>
    <x v="258"/>
    <x v="258"/>
  </r>
  <r>
    <x v="3"/>
    <x v="12"/>
    <x v="33"/>
    <n v="7850000"/>
    <x v="0"/>
    <s v="Tons"/>
    <n v="2022"/>
    <x v="259"/>
    <x v="259"/>
  </r>
  <r>
    <x v="3"/>
    <x v="12"/>
    <x v="34"/>
    <n v="15373000"/>
    <x v="0"/>
    <s v="Tons"/>
    <n v="2022"/>
    <x v="260"/>
    <x v="260"/>
  </r>
  <r>
    <x v="3"/>
    <x v="12"/>
    <x v="32"/>
    <n v="12820853"/>
    <x v="1"/>
    <s v="Tons"/>
    <n v="2023"/>
    <x v="261"/>
    <x v="261"/>
  </r>
  <r>
    <x v="3"/>
    <x v="12"/>
    <x v="32"/>
    <n v="7220000"/>
    <x v="0"/>
    <s v="Tons"/>
    <n v="2023"/>
    <x v="262"/>
    <x v="262"/>
  </r>
  <r>
    <x v="3"/>
    <x v="12"/>
    <x v="33"/>
    <n v="7319000"/>
    <x v="0"/>
    <s v="Tons"/>
    <n v="2023"/>
    <x v="263"/>
    <x v="263"/>
  </r>
  <r>
    <x v="3"/>
    <x v="12"/>
    <x v="34"/>
    <n v="14539000"/>
    <x v="0"/>
    <s v="Tons"/>
    <n v="2023"/>
    <x v="264"/>
    <x v="264"/>
  </r>
  <r>
    <x v="3"/>
    <x v="12"/>
    <x v="32"/>
    <n v="13021711"/>
    <x v="1"/>
    <s v="Tons"/>
    <n v="2024"/>
    <x v="265"/>
    <x v="265"/>
  </r>
  <r>
    <x v="3"/>
    <x v="12"/>
    <x v="32"/>
    <n v="7594000"/>
    <x v="0"/>
    <s v="Tons"/>
    <n v="2024"/>
    <x v="266"/>
    <x v="266"/>
  </r>
  <r>
    <x v="3"/>
    <x v="12"/>
    <x v="33"/>
    <n v="7324000"/>
    <x v="0"/>
    <s v="Tons"/>
    <n v="2024"/>
    <x v="267"/>
    <x v="267"/>
  </r>
  <r>
    <x v="3"/>
    <x v="12"/>
    <x v="34"/>
    <n v="14918000"/>
    <x v="0"/>
    <s v="Tons"/>
    <n v="2024"/>
    <x v="268"/>
    <x v="268"/>
  </r>
  <r>
    <x v="3"/>
    <x v="13"/>
    <x v="35"/>
    <n v="31179"/>
    <x v="2"/>
    <s v="USD Millions"/>
    <n v="2025"/>
    <x v="244"/>
    <x v="244"/>
  </r>
  <r>
    <x v="3"/>
    <x v="13"/>
    <x v="35"/>
    <n v="21109"/>
    <x v="2"/>
    <s v="USD Millions"/>
    <n v="2024"/>
    <x v="244"/>
    <x v="244"/>
  </r>
  <r>
    <x v="3"/>
    <x v="13"/>
    <x v="35"/>
    <n v="20310"/>
    <x v="1"/>
    <s v="USD Millions"/>
    <n v="2023"/>
    <x v="21"/>
    <x v="269"/>
  </r>
  <r>
    <x v="3"/>
    <x v="13"/>
    <x v="35"/>
    <n v="11272"/>
    <x v="0"/>
    <s v="USD Millions"/>
    <n v="2023"/>
    <x v="21"/>
    <x v="270"/>
  </r>
  <r>
    <x v="3"/>
    <x v="13"/>
    <x v="35"/>
    <n v="21256.5"/>
    <x v="1"/>
    <s v="USD Millions"/>
    <n v="2022"/>
    <x v="21"/>
    <x v="271"/>
  </r>
  <r>
    <x v="3"/>
    <x v="13"/>
    <x v="35"/>
    <n v="12815"/>
    <x v="0"/>
    <s v="USD Millions"/>
    <n v="2022"/>
    <x v="21"/>
    <x v="21"/>
  </r>
  <r>
    <x v="3"/>
    <x v="13"/>
    <x v="35"/>
    <n v="18746.099999999999"/>
    <x v="1"/>
    <s v="USD Millions"/>
    <n v="2021"/>
    <x v="21"/>
    <x v="272"/>
  </r>
  <r>
    <x v="3"/>
    <x v="13"/>
    <x v="35"/>
    <n v="10107"/>
    <x v="0"/>
    <s v="USD Millions"/>
    <n v="2021"/>
    <x v="21"/>
    <x v="273"/>
  </r>
  <r>
    <x v="3"/>
    <x v="13"/>
    <x v="35"/>
    <n v="17578.8"/>
    <x v="1"/>
    <s v="USD Millions"/>
    <n v="2020"/>
    <x v="21"/>
    <x v="274"/>
  </r>
  <r>
    <x v="3"/>
    <x v="13"/>
    <x v="35"/>
    <n v="8530"/>
    <x v="0"/>
    <s v="USD Millions"/>
    <n v="2020"/>
    <x v="21"/>
    <x v="275"/>
  </r>
  <r>
    <x v="3"/>
    <x v="13"/>
    <x v="35"/>
    <n v="18289"/>
    <x v="1"/>
    <s v="USD Millions"/>
    <n v="2019"/>
    <x v="21"/>
    <x v="276"/>
  </r>
  <r>
    <x v="3"/>
    <x v="13"/>
    <x v="35"/>
    <n v="9048"/>
    <x v="0"/>
    <s v="USD Millions"/>
    <n v="2019"/>
    <x v="21"/>
    <x v="277"/>
  </r>
  <r>
    <x v="3"/>
    <x v="13"/>
    <x v="36"/>
    <n v="28031.1"/>
    <x v="2"/>
    <s v="USD Millions"/>
    <n v="2024"/>
    <x v="244"/>
    <x v="244"/>
  </r>
  <r>
    <x v="3"/>
    <x v="13"/>
    <x v="36"/>
    <n v="9179.1"/>
    <x v="1"/>
    <s v="USD Millions"/>
    <n v="2023"/>
    <x v="269"/>
    <x v="278"/>
  </r>
  <r>
    <x v="3"/>
    <x v="13"/>
    <x v="36"/>
    <n v="9370.4"/>
    <x v="0"/>
    <s v="USD Millions"/>
    <n v="2023"/>
    <x v="270"/>
    <x v="278"/>
  </r>
  <r>
    <x v="3"/>
    <x v="13"/>
    <x v="36"/>
    <n v="7858.4"/>
    <x v="1"/>
    <s v="USD Millions"/>
    <n v="2022"/>
    <x v="271"/>
    <x v="278"/>
  </r>
  <r>
    <x v="3"/>
    <x v="13"/>
    <x v="36"/>
    <n v="8985"/>
    <x v="0"/>
    <s v="USD Millions"/>
    <n v="2022"/>
    <x v="272"/>
    <x v="278"/>
  </r>
  <r>
    <x v="3"/>
    <x v="13"/>
    <x v="36"/>
    <n v="13205"/>
    <x v="1"/>
    <s v="USD Millions"/>
    <n v="2021"/>
    <x v="273"/>
    <x v="278"/>
  </r>
  <r>
    <x v="3"/>
    <x v="13"/>
    <x v="36"/>
    <n v="12492.5"/>
    <x v="0"/>
    <s v="USD Millions"/>
    <n v="2021"/>
    <x v="274"/>
    <x v="278"/>
  </r>
  <r>
    <x v="3"/>
    <x v="13"/>
    <x v="36"/>
    <n v="9046.2999999999993"/>
    <x v="1"/>
    <s v="USD Millions"/>
    <n v="2020"/>
    <x v="275"/>
    <x v="278"/>
  </r>
  <r>
    <x v="3"/>
    <x v="13"/>
    <x v="36"/>
    <n v="9898.2000000000007"/>
    <x v="0"/>
    <s v="USD Millions"/>
    <n v="2020"/>
    <x v="276"/>
    <x v="278"/>
  </r>
  <r>
    <x v="3"/>
    <x v="13"/>
    <x v="36"/>
    <n v="9396.7999999999993"/>
    <x v="1"/>
    <s v="USD Millions"/>
    <n v="2019"/>
    <x v="277"/>
    <x v="278"/>
  </r>
  <r>
    <x v="3"/>
    <x v="13"/>
    <x v="36"/>
    <n v="8204.6"/>
    <x v="0"/>
    <s v="USD Millions"/>
    <n v="2019"/>
    <x v="278"/>
    <x v="278"/>
  </r>
  <r>
    <x v="4"/>
    <x v="13"/>
    <x v="37"/>
    <n v="1466"/>
    <x v="2"/>
    <s v="USD Millions"/>
    <n v="2024"/>
    <x v="244"/>
    <x v="244"/>
  </r>
  <r>
    <x v="4"/>
    <x v="13"/>
    <x v="37"/>
    <n v="1442.1"/>
    <x v="1"/>
    <s v="USD Millions"/>
    <n v="2023"/>
    <x v="279"/>
    <x v="279"/>
  </r>
  <r>
    <x v="4"/>
    <x v="13"/>
    <x v="37"/>
    <n v="841"/>
    <x v="0"/>
    <s v="USD Millions"/>
    <n v="2023"/>
    <x v="280"/>
    <x v="280"/>
  </r>
  <r>
    <x v="4"/>
    <x v="13"/>
    <x v="37"/>
    <n v="862.6"/>
    <x v="1"/>
    <s v="USD Millions"/>
    <n v="2022"/>
    <x v="281"/>
    <x v="281"/>
  </r>
  <r>
    <x v="4"/>
    <x v="13"/>
    <x v="37"/>
    <n v="873"/>
    <x v="0"/>
    <s v="USD Millions"/>
    <n v="2022"/>
    <x v="282"/>
    <x v="282"/>
  </r>
  <r>
    <x v="4"/>
    <x v="13"/>
    <x v="37"/>
    <n v="815.5"/>
    <x v="1"/>
    <s v="USD Millions"/>
    <n v="2021"/>
    <x v="283"/>
    <x v="283"/>
  </r>
  <r>
    <x v="4"/>
    <x v="13"/>
    <x v="37"/>
    <n v="594"/>
    <x v="0"/>
    <s v="USD Millions"/>
    <n v="2021"/>
    <x v="284"/>
    <x v="284"/>
  </r>
  <r>
    <x v="4"/>
    <x v="13"/>
    <x v="37"/>
    <n v="978.1"/>
    <x v="1"/>
    <s v="USD Millions"/>
    <n v="2020"/>
    <x v="285"/>
    <x v="285"/>
  </r>
  <r>
    <x v="4"/>
    <x v="13"/>
    <x v="37"/>
    <n v="493"/>
    <x v="0"/>
    <s v="USD Millions"/>
    <n v="2020"/>
    <x v="286"/>
    <x v="286"/>
  </r>
  <r>
    <x v="4"/>
    <x v="13"/>
    <x v="37"/>
    <n v="1369.1"/>
    <x v="1"/>
    <s v="USD Millions"/>
    <n v="2019"/>
    <x v="287"/>
    <x v="287"/>
  </r>
  <r>
    <x v="4"/>
    <x v="13"/>
    <x v="37"/>
    <n v="612"/>
    <x v="0"/>
    <s v="USD Millions"/>
    <n v="2019"/>
    <x v="288"/>
    <x v="288"/>
  </r>
  <r>
    <x v="4"/>
    <x v="13"/>
    <x v="38"/>
    <n v="0.17399999999999999"/>
    <x v="2"/>
    <s v="%"/>
    <n v="2024"/>
    <x v="244"/>
    <x v="244"/>
  </r>
  <r>
    <x v="4"/>
    <x v="13"/>
    <x v="38"/>
    <n v="0.159"/>
    <x v="1"/>
    <s v="%"/>
    <n v="2023"/>
    <x v="289"/>
    <x v="289"/>
  </r>
  <r>
    <x v="4"/>
    <x v="13"/>
    <x v="38"/>
    <n v="0.16900000000000001"/>
    <x v="0"/>
    <s v="%"/>
    <n v="2023"/>
    <x v="290"/>
    <x v="290"/>
  </r>
  <r>
    <x v="4"/>
    <x v="13"/>
    <x v="38"/>
    <n v="0.16200000000000001"/>
    <x v="1"/>
    <s v="%"/>
    <n v="2022"/>
    <x v="291"/>
    <x v="291"/>
  </r>
  <r>
    <x v="4"/>
    <x v="13"/>
    <x v="38"/>
    <n v="0.161"/>
    <x v="0"/>
    <s v="%"/>
    <n v="2022"/>
    <x v="292"/>
    <x v="292"/>
  </r>
  <r>
    <x v="4"/>
    <x v="13"/>
    <x v="38"/>
    <n v="0.16"/>
    <x v="1"/>
    <s v="%"/>
    <n v="2021"/>
    <x v="293"/>
    <x v="293"/>
  </r>
  <r>
    <x v="4"/>
    <x v="13"/>
    <x v="38"/>
    <n v="0.16"/>
    <x v="0"/>
    <s v="%"/>
    <n v="2021"/>
    <x v="294"/>
    <x v="294"/>
  </r>
  <r>
    <x v="4"/>
    <x v="13"/>
    <x v="38"/>
    <n v="0.16400000000000001"/>
    <x v="1"/>
    <s v="%"/>
    <n v="2020"/>
    <x v="295"/>
    <x v="295"/>
  </r>
  <r>
    <x v="4"/>
    <x v="13"/>
    <x v="38"/>
    <n v="0.17299999999999999"/>
    <x v="0"/>
    <s v="%"/>
    <n v="2020"/>
    <x v="296"/>
    <x v="296"/>
  </r>
  <r>
    <x v="4"/>
    <x v="13"/>
    <x v="38"/>
    <n v="0.17399999999999999"/>
    <x v="1"/>
    <s v="%"/>
    <n v="2019"/>
    <x v="297"/>
    <x v="297"/>
  </r>
  <r>
    <x v="4"/>
    <x v="13"/>
    <x v="38"/>
    <n v="0.17699999999999999"/>
    <x v="0"/>
    <s v="%"/>
    <n v="2019"/>
    <x v="298"/>
    <x v="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FA1B59-CAC9-0C41-8746-1A20C258ADA5}" name="PivotTable12" cacheId="6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22" firstHeaderRow="1" firstDataRow="2" firstDataCol="1" rowPageCount="1" colPageCount="1"/>
  <pivotFields count="9">
    <pivotField axis="axisPage" multipleItemSelectionAllowed="1" showAll="0">
      <items count="6">
        <item x="0"/>
        <item h="1" x="4"/>
        <item h="1" x="2"/>
        <item h="1" x="3"/>
        <item h="1" x="1"/>
        <item t="default"/>
      </items>
    </pivotField>
    <pivotField axis="axisRow" showAll="0">
      <items count="15">
        <item x="10"/>
        <item x="1"/>
        <item x="11"/>
        <item x="8"/>
        <item x="0"/>
        <item x="9"/>
        <item x="13"/>
        <item x="12"/>
        <item x="7"/>
        <item x="4"/>
        <item x="5"/>
        <item x="3"/>
        <item h="1" x="2"/>
        <item x="6"/>
        <item t="default"/>
      </items>
    </pivotField>
    <pivotField axis="axisRow" showAll="0">
      <items count="40">
        <item x="35"/>
        <item x="25"/>
        <item x="18"/>
        <item h="1" x="6"/>
        <item x="31"/>
        <item x="28"/>
        <item x="37"/>
        <item x="38"/>
        <item x="29"/>
        <item x="3"/>
        <item x="27"/>
        <item x="36"/>
        <item x="7"/>
        <item x="4"/>
        <item x="33"/>
        <item x="32"/>
        <item x="13"/>
        <item x="1"/>
        <item x="12"/>
        <item x="15"/>
        <item x="26"/>
        <item x="2"/>
        <item x="5"/>
        <item x="8"/>
        <item x="19"/>
        <item x="34"/>
        <item x="20"/>
        <item x="0"/>
        <item x="21"/>
        <item x="16"/>
        <item x="17"/>
        <item x="22"/>
        <item x="14"/>
        <item x="10"/>
        <item x="11"/>
        <item x="9"/>
        <item x="23"/>
        <item x="24"/>
        <item x="30"/>
        <item t="default"/>
      </items>
    </pivotField>
    <pivotField showAll="0"/>
    <pivotField axis="axisCol" showAll="0">
      <items count="4">
        <item x="0"/>
        <item x="2"/>
        <item x="1"/>
        <item t="default"/>
      </items>
    </pivotField>
    <pivotField showAll="0"/>
    <pivotField showAll="0"/>
    <pivotField showAll="0"/>
    <pivotField dataField="1" showAll="0"/>
  </pivotFields>
  <rowFields count="2">
    <field x="1"/>
    <field x="2"/>
  </rowFields>
  <rowItems count="18">
    <i>
      <x v="1"/>
    </i>
    <i r="1">
      <x v="16"/>
    </i>
    <i r="1">
      <x v="17"/>
    </i>
    <i r="1">
      <x v="18"/>
    </i>
    <i r="1">
      <x v="19"/>
    </i>
    <i>
      <x v="4"/>
    </i>
    <i r="1">
      <x v="12"/>
    </i>
    <i r="1">
      <x v="23"/>
    </i>
    <i r="1">
      <x v="27"/>
    </i>
    <i>
      <x v="9"/>
    </i>
    <i r="1">
      <x v="32"/>
    </i>
    <i>
      <x v="11"/>
    </i>
    <i r="1">
      <x v="9"/>
    </i>
    <i r="1">
      <x v="13"/>
    </i>
    <i r="1">
      <x v="33"/>
    </i>
    <i r="1">
      <x v="34"/>
    </i>
    <i r="1">
      <x v="35"/>
    </i>
    <i t="grand">
      <x/>
    </i>
  </rowItems>
  <colFields count="1">
    <field x="4"/>
  </colFields>
  <colItems count="3">
    <i>
      <x/>
    </i>
    <i>
      <x v="2"/>
    </i>
    <i t="grand">
      <x/>
    </i>
  </colItems>
  <pageFields count="1">
    <pageField fld="0" hier="-1"/>
  </pageFields>
  <dataFields count="1">
    <dataField name="Sum of (Unit/$ Market Cap)" fld="8" baseField="0" baseItem="0" numFmtId="2"/>
  </dataFields>
  <formats count="1">
    <format dxfId="5">
      <pivotArea outline="0" collapsedLevelsAreSubtotals="1" fieldPosition="0"/>
    </format>
  </format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D2B"/>
  </sheetPr>
  <dimension ref="A1:H27"/>
  <sheetViews>
    <sheetView showGridLines="0" workbookViewId="0">
      <selection sqref="A1:H1"/>
    </sheetView>
  </sheetViews>
  <sheetFormatPr baseColWidth="10" defaultColWidth="8.6640625" defaultRowHeight="15" x14ac:dyDescent="0.2"/>
  <cols>
    <col min="1" max="1" width="28" customWidth="1"/>
    <col min="2" max="2" width="72" customWidth="1"/>
    <col min="3" max="8" width="10" customWidth="1"/>
  </cols>
  <sheetData>
    <row r="1" spans="1:8" ht="60" customHeight="1" x14ac:dyDescent="0.2">
      <c r="A1" s="104" t="s">
        <v>0</v>
      </c>
      <c r="B1" s="102"/>
      <c r="C1" s="102"/>
      <c r="D1" s="102"/>
      <c r="E1" s="102"/>
      <c r="F1" s="102"/>
      <c r="G1" s="102"/>
      <c r="H1" s="102"/>
    </row>
    <row r="2" spans="1:8" ht="19.5" customHeight="1" x14ac:dyDescent="0.2">
      <c r="A2" s="103" t="s">
        <v>1</v>
      </c>
      <c r="B2" s="102"/>
      <c r="C2" s="102"/>
      <c r="D2" s="102"/>
      <c r="E2" s="102"/>
      <c r="F2" s="102"/>
      <c r="G2" s="102"/>
      <c r="H2" s="102"/>
    </row>
    <row r="3" spans="1:8" x14ac:dyDescent="0.2">
      <c r="A3" s="3" t="s">
        <v>2</v>
      </c>
      <c r="B3" s="105" t="s">
        <v>3</v>
      </c>
      <c r="C3" s="102"/>
      <c r="D3" s="102"/>
      <c r="E3" s="102"/>
      <c r="F3" s="102"/>
      <c r="G3" s="102"/>
      <c r="H3" s="102"/>
    </row>
    <row r="4" spans="1:8" ht="15.75" customHeight="1" x14ac:dyDescent="0.2">
      <c r="A4" s="1" t="s">
        <v>4</v>
      </c>
      <c r="B4" s="2" t="s">
        <v>5</v>
      </c>
    </row>
    <row r="5" spans="1:8" ht="15.75" customHeight="1" x14ac:dyDescent="0.2">
      <c r="A5" s="1" t="s">
        <v>6</v>
      </c>
      <c r="B5" s="2" t="s">
        <v>7</v>
      </c>
    </row>
    <row r="6" spans="1:8" ht="15.75" customHeight="1" x14ac:dyDescent="0.2">
      <c r="A6" s="1" t="s">
        <v>8</v>
      </c>
      <c r="B6" s="2" t="s">
        <v>9</v>
      </c>
    </row>
    <row r="7" spans="1:8" ht="15.75" customHeight="1" x14ac:dyDescent="0.2">
      <c r="A7" s="1" t="s">
        <v>10</v>
      </c>
      <c r="B7" s="2" t="s">
        <v>11</v>
      </c>
    </row>
    <row r="8" spans="1:8" ht="15.75" customHeight="1" x14ac:dyDescent="0.2">
      <c r="A8" s="1" t="s">
        <v>12</v>
      </c>
      <c r="B8" s="2" t="s">
        <v>13</v>
      </c>
    </row>
    <row r="9" spans="1:8" ht="15.75" customHeight="1" x14ac:dyDescent="0.2">
      <c r="A9" s="1"/>
      <c r="B9" s="2"/>
    </row>
    <row r="10" spans="1:8" ht="19.5" customHeight="1" x14ac:dyDescent="0.2">
      <c r="A10" s="103" t="s">
        <v>14</v>
      </c>
      <c r="B10" s="102"/>
      <c r="C10" s="102"/>
      <c r="D10" s="102"/>
      <c r="E10" s="102"/>
      <c r="F10" s="102"/>
      <c r="G10" s="102"/>
      <c r="H10" s="102"/>
    </row>
    <row r="11" spans="1:8" ht="18" customHeight="1" x14ac:dyDescent="0.2">
      <c r="A11" s="4" t="s">
        <v>15</v>
      </c>
      <c r="B11" s="1" t="s">
        <v>16</v>
      </c>
    </row>
    <row r="12" spans="1:8" ht="18" customHeight="1" x14ac:dyDescent="0.2">
      <c r="A12" s="4" t="s">
        <v>17</v>
      </c>
      <c r="B12" s="1" t="s">
        <v>18</v>
      </c>
    </row>
    <row r="13" spans="1:8" ht="18" customHeight="1" x14ac:dyDescent="0.2">
      <c r="A13" s="4" t="s">
        <v>19</v>
      </c>
      <c r="B13" s="1" t="s">
        <v>20</v>
      </c>
    </row>
    <row r="14" spans="1:8" ht="18" customHeight="1" x14ac:dyDescent="0.2">
      <c r="A14" s="4" t="s">
        <v>21</v>
      </c>
      <c r="B14" s="1" t="s">
        <v>22</v>
      </c>
    </row>
    <row r="15" spans="1:8" ht="18" customHeight="1" x14ac:dyDescent="0.2">
      <c r="A15" s="4" t="s">
        <v>23</v>
      </c>
      <c r="B15" s="1" t="s">
        <v>24</v>
      </c>
    </row>
    <row r="16" spans="1:8" ht="15.75" customHeight="1" x14ac:dyDescent="0.2">
      <c r="A16" s="1"/>
      <c r="B16" s="2"/>
    </row>
    <row r="17" spans="1:8" ht="19.5" customHeight="1" x14ac:dyDescent="0.2">
      <c r="A17" s="103" t="s">
        <v>25</v>
      </c>
      <c r="B17" s="102"/>
      <c r="C17" s="102"/>
      <c r="D17" s="102"/>
      <c r="E17" s="102"/>
      <c r="F17" s="102"/>
      <c r="G17" s="102"/>
      <c r="H17" s="102"/>
    </row>
    <row r="18" spans="1:8" ht="18" customHeight="1" x14ac:dyDescent="0.2">
      <c r="A18" s="4" t="s">
        <v>26</v>
      </c>
      <c r="B18" s="1" t="s">
        <v>27</v>
      </c>
    </row>
    <row r="19" spans="1:8" ht="18" customHeight="1" x14ac:dyDescent="0.2">
      <c r="A19" s="4" t="s">
        <v>28</v>
      </c>
      <c r="B19" s="1" t="s">
        <v>29</v>
      </c>
    </row>
    <row r="20" spans="1:8" ht="18" customHeight="1" x14ac:dyDescent="0.2">
      <c r="A20" s="4" t="s">
        <v>30</v>
      </c>
      <c r="B20" s="1" t="s">
        <v>31</v>
      </c>
    </row>
    <row r="21" spans="1:8" ht="18" customHeight="1" x14ac:dyDescent="0.2">
      <c r="A21" s="4" t="s">
        <v>32</v>
      </c>
      <c r="B21" s="1" t="s">
        <v>33</v>
      </c>
    </row>
    <row r="22" spans="1:8" ht="15.75" customHeight="1" x14ac:dyDescent="0.2">
      <c r="A22" s="1"/>
      <c r="B22" s="2"/>
    </row>
    <row r="23" spans="1:8" ht="19.5" customHeight="1" x14ac:dyDescent="0.2">
      <c r="A23" s="103" t="s">
        <v>34</v>
      </c>
      <c r="B23" s="102"/>
      <c r="C23" s="102"/>
      <c r="D23" s="102"/>
      <c r="E23" s="102"/>
      <c r="F23" s="102"/>
      <c r="G23" s="102"/>
      <c r="H23" s="102"/>
    </row>
    <row r="24" spans="1:8" x14ac:dyDescent="0.2">
      <c r="A24" s="5" t="s">
        <v>35</v>
      </c>
      <c r="B24" s="6" t="s">
        <v>36</v>
      </c>
    </row>
    <row r="25" spans="1:8" x14ac:dyDescent="0.2">
      <c r="A25" s="5" t="s">
        <v>37</v>
      </c>
      <c r="B25" s="6" t="s">
        <v>38</v>
      </c>
    </row>
    <row r="26" spans="1:8" x14ac:dyDescent="0.2">
      <c r="A26" s="7" t="s">
        <v>39</v>
      </c>
      <c r="B26" s="8" t="s">
        <v>40</v>
      </c>
    </row>
    <row r="27" spans="1:8" x14ac:dyDescent="0.2">
      <c r="A27" s="9" t="s">
        <v>41</v>
      </c>
      <c r="B27" s="10" t="s">
        <v>42</v>
      </c>
    </row>
  </sheetData>
  <mergeCells count="6">
    <mergeCell ref="A2:H2"/>
    <mergeCell ref="A10:H10"/>
    <mergeCell ref="A1:H1"/>
    <mergeCell ref="A23:H23"/>
    <mergeCell ref="B3:H3"/>
    <mergeCell ref="A17:H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7C59"/>
  </sheetPr>
  <dimension ref="A1:J50"/>
  <sheetViews>
    <sheetView showGridLines="0" topLeftCell="A5" workbookViewId="0">
      <selection activeCell="A3" sqref="A3"/>
    </sheetView>
  </sheetViews>
  <sheetFormatPr baseColWidth="10" defaultColWidth="8.6640625" defaultRowHeight="15" x14ac:dyDescent="0.2"/>
  <cols>
    <col min="1" max="1" width="41.1640625" customWidth="1"/>
    <col min="2" max="2" width="41.6640625" customWidth="1"/>
    <col min="3" max="3" width="48.33203125" customWidth="1"/>
    <col min="4" max="4" width="22" customWidth="1"/>
    <col min="5" max="5" width="28" customWidth="1"/>
    <col min="6" max="6" width="91" customWidth="1"/>
    <col min="7" max="7" width="18.1640625" customWidth="1"/>
    <col min="8" max="8" width="46" customWidth="1"/>
    <col min="9" max="9" width="28" customWidth="1"/>
    <col min="10" max="10" width="30" customWidth="1"/>
  </cols>
  <sheetData>
    <row r="1" spans="1:10" ht="36" customHeight="1" x14ac:dyDescent="0.2">
      <c r="A1" s="107" t="s">
        <v>43</v>
      </c>
      <c r="B1" s="107"/>
      <c r="C1" s="107"/>
      <c r="D1" s="107"/>
      <c r="E1" s="107"/>
      <c r="F1" s="107"/>
      <c r="G1" s="108" t="s">
        <v>44</v>
      </c>
      <c r="H1" s="102"/>
      <c r="I1" s="102"/>
      <c r="J1" s="102"/>
    </row>
    <row r="2" spans="1:10" ht="30" customHeight="1" x14ac:dyDescent="0.2">
      <c r="A2" s="11" t="s">
        <v>46</v>
      </c>
      <c r="B2" s="11" t="s">
        <v>47</v>
      </c>
      <c r="C2" s="11" t="s">
        <v>48</v>
      </c>
      <c r="D2" s="11" t="s">
        <v>49</v>
      </c>
      <c r="E2" s="11" t="s">
        <v>50</v>
      </c>
      <c r="F2" s="11" t="s">
        <v>51</v>
      </c>
      <c r="G2" s="11" t="s">
        <v>52</v>
      </c>
      <c r="H2" s="11" t="s">
        <v>53</v>
      </c>
      <c r="I2" s="11" t="s">
        <v>54</v>
      </c>
      <c r="J2" s="11" t="s">
        <v>55</v>
      </c>
    </row>
    <row r="3" spans="1:10" ht="54" customHeight="1" x14ac:dyDescent="0.2">
      <c r="A3" s="75" t="s">
        <v>56</v>
      </c>
      <c r="B3" s="80" t="s">
        <v>57</v>
      </c>
      <c r="C3" s="80" t="s">
        <v>58</v>
      </c>
      <c r="D3" s="80" t="s">
        <v>59</v>
      </c>
      <c r="E3" s="80" t="s">
        <v>60</v>
      </c>
      <c r="F3" s="88" t="s">
        <v>61</v>
      </c>
      <c r="G3" s="77" t="s">
        <v>62</v>
      </c>
      <c r="H3" s="78" t="s">
        <v>63</v>
      </c>
      <c r="I3" s="78" t="s">
        <v>64</v>
      </c>
      <c r="J3" s="19"/>
    </row>
    <row r="4" spans="1:10" ht="54" customHeight="1" x14ac:dyDescent="0.2">
      <c r="A4" s="79" t="s">
        <v>65</v>
      </c>
      <c r="B4" s="79" t="s">
        <v>66</v>
      </c>
      <c r="C4" s="79" t="s">
        <v>67</v>
      </c>
      <c r="D4" s="79" t="s">
        <v>59</v>
      </c>
      <c r="E4" s="79" t="s">
        <v>68</v>
      </c>
      <c r="F4" s="81" t="s">
        <v>61</v>
      </c>
      <c r="G4" s="77" t="s">
        <v>62</v>
      </c>
      <c r="H4" s="78" t="s">
        <v>69</v>
      </c>
      <c r="I4" s="78" t="s">
        <v>64</v>
      </c>
      <c r="J4" s="19"/>
    </row>
    <row r="5" spans="1:10" ht="54" customHeight="1" x14ac:dyDescent="0.2">
      <c r="A5" s="75" t="s">
        <v>70</v>
      </c>
      <c r="B5" s="80" t="s">
        <v>71</v>
      </c>
      <c r="C5" s="80" t="s">
        <v>72</v>
      </c>
      <c r="D5" s="80" t="s">
        <v>59</v>
      </c>
      <c r="E5" s="80" t="s">
        <v>68</v>
      </c>
      <c r="F5" s="88" t="s">
        <v>61</v>
      </c>
      <c r="G5" s="77" t="s">
        <v>62</v>
      </c>
      <c r="H5" s="78" t="s">
        <v>73</v>
      </c>
      <c r="I5" s="78" t="s">
        <v>74</v>
      </c>
      <c r="J5" s="19"/>
    </row>
    <row r="6" spans="1:10" ht="54" customHeight="1" x14ac:dyDescent="0.2">
      <c r="A6" s="79" t="s">
        <v>75</v>
      </c>
      <c r="B6" s="79" t="s">
        <v>76</v>
      </c>
      <c r="C6" s="79" t="s">
        <v>77</v>
      </c>
      <c r="D6" s="79" t="s">
        <v>59</v>
      </c>
      <c r="E6" s="79" t="s">
        <v>78</v>
      </c>
      <c r="F6" s="81" t="s">
        <v>61</v>
      </c>
      <c r="G6" s="77" t="s">
        <v>62</v>
      </c>
      <c r="H6" s="78" t="s">
        <v>79</v>
      </c>
      <c r="I6" s="78" t="s">
        <v>80</v>
      </c>
      <c r="J6" s="19"/>
    </row>
    <row r="7" spans="1:10" ht="54" customHeight="1" x14ac:dyDescent="0.2">
      <c r="A7" s="75" t="s">
        <v>81</v>
      </c>
      <c r="B7" s="80" t="s">
        <v>82</v>
      </c>
      <c r="C7" s="80" t="s">
        <v>83</v>
      </c>
      <c r="D7" s="80" t="s">
        <v>84</v>
      </c>
      <c r="E7" s="80" t="s">
        <v>85</v>
      </c>
      <c r="F7" s="88" t="s">
        <v>61</v>
      </c>
      <c r="G7" s="77" t="s">
        <v>86</v>
      </c>
      <c r="H7" s="78" t="s">
        <v>87</v>
      </c>
      <c r="I7" s="78" t="s">
        <v>88</v>
      </c>
      <c r="J7" s="19"/>
    </row>
    <row r="8" spans="1:10" ht="54" customHeight="1" x14ac:dyDescent="0.2">
      <c r="A8" s="79" t="s">
        <v>89</v>
      </c>
      <c r="B8" s="79" t="s">
        <v>90</v>
      </c>
      <c r="C8" s="79" t="s">
        <v>91</v>
      </c>
      <c r="D8" s="79" t="s">
        <v>92</v>
      </c>
      <c r="E8" s="79" t="s">
        <v>93</v>
      </c>
      <c r="F8" s="81" t="s">
        <v>61</v>
      </c>
      <c r="G8" s="77" t="s">
        <v>62</v>
      </c>
      <c r="H8" s="78" t="s">
        <v>94</v>
      </c>
      <c r="I8" s="78" t="s">
        <v>95</v>
      </c>
      <c r="J8" s="19"/>
    </row>
    <row r="9" spans="1:10" ht="54" customHeight="1" x14ac:dyDescent="0.2">
      <c r="A9" s="75" t="s">
        <v>96</v>
      </c>
      <c r="B9" s="80" t="s">
        <v>97</v>
      </c>
      <c r="C9" s="80" t="s">
        <v>98</v>
      </c>
      <c r="D9" s="80" t="s">
        <v>99</v>
      </c>
      <c r="E9" s="80" t="s">
        <v>93</v>
      </c>
      <c r="F9" s="88" t="s">
        <v>61</v>
      </c>
      <c r="G9" s="77" t="s">
        <v>62</v>
      </c>
      <c r="H9" s="78" t="s">
        <v>100</v>
      </c>
      <c r="I9" s="78" t="s">
        <v>101</v>
      </c>
      <c r="J9" s="19"/>
    </row>
    <row r="10" spans="1:10" ht="54" customHeight="1" x14ac:dyDescent="0.2">
      <c r="A10" s="79" t="s">
        <v>102</v>
      </c>
      <c r="B10" s="79" t="s">
        <v>103</v>
      </c>
      <c r="C10" s="79" t="s">
        <v>104</v>
      </c>
      <c r="D10" s="79" t="s">
        <v>105</v>
      </c>
      <c r="E10" s="79" t="s">
        <v>106</v>
      </c>
      <c r="F10" s="81" t="s">
        <v>61</v>
      </c>
      <c r="G10" s="77" t="s">
        <v>62</v>
      </c>
      <c r="H10" s="78" t="s">
        <v>107</v>
      </c>
      <c r="I10" s="78" t="s">
        <v>108</v>
      </c>
      <c r="J10" s="19"/>
    </row>
    <row r="11" spans="1:10" ht="54" customHeight="1" x14ac:dyDescent="0.2">
      <c r="A11" s="75" t="s">
        <v>109</v>
      </c>
      <c r="B11" s="80" t="s">
        <v>110</v>
      </c>
      <c r="C11" s="80" t="s">
        <v>111</v>
      </c>
      <c r="D11" s="80" t="s">
        <v>112</v>
      </c>
      <c r="E11" s="80" t="s">
        <v>113</v>
      </c>
      <c r="F11" s="88" t="s">
        <v>61</v>
      </c>
      <c r="G11" s="77" t="s">
        <v>62</v>
      </c>
      <c r="H11" s="78" t="s">
        <v>114</v>
      </c>
      <c r="I11" s="78" t="s">
        <v>115</v>
      </c>
      <c r="J11" s="19"/>
    </row>
    <row r="12" spans="1:10" ht="54" customHeight="1" x14ac:dyDescent="0.2">
      <c r="A12" s="79" t="s">
        <v>116</v>
      </c>
      <c r="B12" s="79" t="s">
        <v>117</v>
      </c>
      <c r="C12" s="79" t="s">
        <v>118</v>
      </c>
      <c r="D12" s="79" t="s">
        <v>99</v>
      </c>
      <c r="E12" s="79" t="s">
        <v>119</v>
      </c>
      <c r="F12" s="81" t="s">
        <v>61</v>
      </c>
      <c r="G12" s="77" t="s">
        <v>86</v>
      </c>
      <c r="H12" s="78" t="s">
        <v>120</v>
      </c>
      <c r="I12" s="78" t="s">
        <v>121</v>
      </c>
      <c r="J12" s="19"/>
    </row>
    <row r="13" spans="1:10" ht="54" customHeight="1" x14ac:dyDescent="0.2">
      <c r="A13" s="75" t="s">
        <v>122</v>
      </c>
      <c r="B13" s="80" t="s">
        <v>123</v>
      </c>
      <c r="C13" s="80" t="s">
        <v>124</v>
      </c>
      <c r="D13" s="80" t="s">
        <v>125</v>
      </c>
      <c r="E13" s="80" t="s">
        <v>126</v>
      </c>
      <c r="F13" s="88" t="s">
        <v>61</v>
      </c>
      <c r="G13" s="77" t="s">
        <v>62</v>
      </c>
      <c r="H13" s="78" t="s">
        <v>127</v>
      </c>
      <c r="I13" s="78" t="s">
        <v>128</v>
      </c>
      <c r="J13" s="19"/>
    </row>
    <row r="14" spans="1:10" ht="54" customHeight="1" x14ac:dyDescent="0.2">
      <c r="A14" s="79" t="s">
        <v>129</v>
      </c>
      <c r="B14" s="79" t="s">
        <v>130</v>
      </c>
      <c r="C14" s="79" t="s">
        <v>131</v>
      </c>
      <c r="D14" s="79" t="s">
        <v>99</v>
      </c>
      <c r="E14" s="79" t="s">
        <v>132</v>
      </c>
      <c r="F14" s="81" t="s">
        <v>61</v>
      </c>
      <c r="G14" s="77" t="s">
        <v>62</v>
      </c>
      <c r="H14" s="78" t="s">
        <v>133</v>
      </c>
      <c r="I14" s="78" t="s">
        <v>134</v>
      </c>
      <c r="J14" s="19"/>
    </row>
    <row r="15" spans="1:10" ht="54" customHeight="1" x14ac:dyDescent="0.2">
      <c r="A15" s="75" t="s">
        <v>135</v>
      </c>
      <c r="B15" s="75" t="s">
        <v>136</v>
      </c>
      <c r="C15" s="75" t="s">
        <v>137</v>
      </c>
      <c r="D15" s="75" t="s">
        <v>138</v>
      </c>
      <c r="E15" s="75" t="s">
        <v>139</v>
      </c>
      <c r="F15" s="75" t="s">
        <v>61</v>
      </c>
      <c r="G15" s="77" t="s">
        <v>62</v>
      </c>
      <c r="H15" s="78" t="s">
        <v>140</v>
      </c>
      <c r="I15" s="78" t="s">
        <v>141</v>
      </c>
      <c r="J15" s="19"/>
    </row>
    <row r="16" spans="1:10" ht="19.5" customHeight="1" x14ac:dyDescent="0.2">
      <c r="A16" s="102"/>
      <c r="B16" s="102"/>
      <c r="C16" s="102"/>
      <c r="D16" s="102"/>
      <c r="E16" s="102"/>
      <c r="F16" s="102"/>
      <c r="G16" s="102"/>
      <c r="H16" s="102"/>
      <c r="I16" s="102"/>
      <c r="J16" s="102"/>
    </row>
    <row r="17" spans="1:10" ht="19.5" customHeight="1" x14ac:dyDescent="0.2">
      <c r="A17" s="35" t="s">
        <v>142</v>
      </c>
      <c r="B17" s="35" t="s">
        <v>143</v>
      </c>
      <c r="C17" s="35" t="s">
        <v>144</v>
      </c>
      <c r="D17" s="35" t="s">
        <v>45</v>
      </c>
      <c r="E17" s="35" t="s">
        <v>145</v>
      </c>
      <c r="F17" s="68" t="s">
        <v>146</v>
      </c>
      <c r="G17" s="34" t="s">
        <v>147</v>
      </c>
      <c r="H17" s="19" t="s">
        <v>148</v>
      </c>
      <c r="I17" s="19" t="s">
        <v>149</v>
      </c>
      <c r="J17" s="19"/>
    </row>
    <row r="18" spans="1:10" ht="19.5" customHeight="1" x14ac:dyDescent="0.2">
      <c r="A18" s="33" t="s">
        <v>150</v>
      </c>
      <c r="B18" s="33" t="s">
        <v>151</v>
      </c>
      <c r="C18" s="33" t="s">
        <v>152</v>
      </c>
      <c r="D18" s="33" t="s">
        <v>99</v>
      </c>
      <c r="E18" s="33" t="s">
        <v>153</v>
      </c>
      <c r="F18" s="68" t="s">
        <v>146</v>
      </c>
      <c r="G18" s="34" t="s">
        <v>147</v>
      </c>
      <c r="H18" s="19" t="s">
        <v>148</v>
      </c>
      <c r="I18" s="19" t="s">
        <v>149</v>
      </c>
      <c r="J18" s="19"/>
    </row>
    <row r="19" spans="1:10" ht="19.5" customHeight="1" x14ac:dyDescent="0.2">
      <c r="A19" s="35" t="s">
        <v>154</v>
      </c>
      <c r="B19" s="35" t="s">
        <v>155</v>
      </c>
      <c r="C19" s="35" t="s">
        <v>156</v>
      </c>
      <c r="D19" s="33" t="s">
        <v>99</v>
      </c>
      <c r="E19" s="35" t="s">
        <v>157</v>
      </c>
      <c r="F19" t="s">
        <v>158</v>
      </c>
      <c r="G19" s="34" t="s">
        <v>147</v>
      </c>
      <c r="H19" s="19" t="s">
        <v>148</v>
      </c>
      <c r="I19" s="19" t="s">
        <v>149</v>
      </c>
      <c r="J19" s="19"/>
    </row>
    <row r="20" spans="1:10" ht="19.5" customHeight="1" x14ac:dyDescent="0.2">
      <c r="A20" s="33" t="s">
        <v>159</v>
      </c>
      <c r="B20" s="33" t="s">
        <v>160</v>
      </c>
      <c r="C20" s="33" t="s">
        <v>161</v>
      </c>
      <c r="D20" s="33" t="s">
        <v>99</v>
      </c>
      <c r="E20" s="33" t="s">
        <v>162</v>
      </c>
      <c r="F20" s="69" t="s">
        <v>163</v>
      </c>
      <c r="G20" s="34" t="s">
        <v>164</v>
      </c>
      <c r="H20" s="19" t="s">
        <v>148</v>
      </c>
      <c r="I20" s="19" t="s">
        <v>149</v>
      </c>
      <c r="J20" s="19"/>
    </row>
    <row r="21" spans="1:10" ht="19.5" customHeight="1" x14ac:dyDescent="0.2">
      <c r="A21" s="35" t="s">
        <v>165</v>
      </c>
      <c r="B21" s="35" t="s">
        <v>166</v>
      </c>
      <c r="C21" s="35" t="s">
        <v>167</v>
      </c>
      <c r="D21" s="33" t="s">
        <v>99</v>
      </c>
      <c r="E21" s="35" t="s">
        <v>168</v>
      </c>
      <c r="F21" s="68" t="s">
        <v>163</v>
      </c>
      <c r="G21" s="34" t="s">
        <v>164</v>
      </c>
      <c r="H21" s="19" t="s">
        <v>148</v>
      </c>
      <c r="I21" s="19" t="s">
        <v>149</v>
      </c>
      <c r="J21" s="19"/>
    </row>
    <row r="22" spans="1:10" ht="19.5" customHeight="1" x14ac:dyDescent="0.2">
      <c r="A22" s="33" t="s">
        <v>169</v>
      </c>
      <c r="B22" s="33" t="s">
        <v>170</v>
      </c>
      <c r="C22" s="33" t="s">
        <v>171</v>
      </c>
      <c r="D22" s="33" t="s">
        <v>172</v>
      </c>
      <c r="E22" s="33" t="s">
        <v>173</v>
      </c>
      <c r="F22" s="33" t="s">
        <v>174</v>
      </c>
      <c r="G22" s="34" t="s">
        <v>147</v>
      </c>
      <c r="H22" s="19" t="s">
        <v>148</v>
      </c>
      <c r="I22" s="19" t="s">
        <v>149</v>
      </c>
      <c r="J22" s="19"/>
    </row>
    <row r="23" spans="1:10" ht="19.5" customHeight="1" x14ac:dyDescent="0.2">
      <c r="A23" s="35" t="s">
        <v>175</v>
      </c>
      <c r="B23" s="35" t="s">
        <v>176</v>
      </c>
      <c r="C23" s="35" t="s">
        <v>177</v>
      </c>
      <c r="D23" s="33" t="s">
        <v>172</v>
      </c>
      <c r="E23" s="35" t="s">
        <v>178</v>
      </c>
      <c r="F23" s="68" t="s">
        <v>146</v>
      </c>
      <c r="G23" s="34" t="s">
        <v>147</v>
      </c>
      <c r="H23" s="19" t="s">
        <v>148</v>
      </c>
      <c r="I23" s="19" t="s">
        <v>149</v>
      </c>
      <c r="J23" s="19"/>
    </row>
    <row r="24" spans="1:10" ht="19.5" customHeight="1" x14ac:dyDescent="0.2">
      <c r="A24" s="33" t="s">
        <v>179</v>
      </c>
      <c r="B24" s="33" t="s">
        <v>180</v>
      </c>
      <c r="C24" s="33" t="s">
        <v>181</v>
      </c>
      <c r="D24" s="33" t="s">
        <v>99</v>
      </c>
      <c r="E24" s="33" t="s">
        <v>182</v>
      </c>
      <c r="F24" s="68" t="s">
        <v>146</v>
      </c>
      <c r="G24" s="34" t="s">
        <v>62</v>
      </c>
      <c r="H24" s="19" t="s">
        <v>148</v>
      </c>
      <c r="I24" s="19" t="s">
        <v>149</v>
      </c>
      <c r="J24" s="19"/>
    </row>
    <row r="25" spans="1:10" ht="19.5" customHeight="1" x14ac:dyDescent="0.2">
      <c r="A25" s="35" t="s">
        <v>183</v>
      </c>
      <c r="B25" s="35" t="s">
        <v>184</v>
      </c>
      <c r="C25" s="35" t="s">
        <v>185</v>
      </c>
      <c r="D25" s="35" t="s">
        <v>45</v>
      </c>
      <c r="E25" s="35" t="s">
        <v>186</v>
      </c>
      <c r="F25" s="68" t="s">
        <v>146</v>
      </c>
      <c r="G25" s="34" t="s">
        <v>147</v>
      </c>
      <c r="H25" s="19" t="s">
        <v>148</v>
      </c>
      <c r="I25" s="19" t="s">
        <v>149</v>
      </c>
      <c r="J25" s="19"/>
    </row>
    <row r="26" spans="1:10" ht="19.5" customHeight="1" x14ac:dyDescent="0.2">
      <c r="A26" s="33" t="s">
        <v>187</v>
      </c>
      <c r="B26" s="33" t="s">
        <v>188</v>
      </c>
      <c r="C26" s="33" t="s">
        <v>189</v>
      </c>
      <c r="D26" s="33" t="s">
        <v>99</v>
      </c>
      <c r="E26" s="33" t="s">
        <v>190</v>
      </c>
      <c r="F26" s="33" t="s">
        <v>158</v>
      </c>
      <c r="G26" s="34" t="s">
        <v>164</v>
      </c>
      <c r="H26" s="19" t="s">
        <v>148</v>
      </c>
      <c r="I26" s="19" t="s">
        <v>149</v>
      </c>
      <c r="J26" s="19"/>
    </row>
    <row r="27" spans="1:10" ht="19.5" customHeight="1" x14ac:dyDescent="0.2">
      <c r="A27" s="35" t="s">
        <v>191</v>
      </c>
      <c r="B27" s="35" t="s">
        <v>192</v>
      </c>
      <c r="C27" s="35" t="s">
        <v>193</v>
      </c>
      <c r="D27" s="35" t="s">
        <v>99</v>
      </c>
      <c r="E27" s="35" t="s">
        <v>194</v>
      </c>
      <c r="F27" s="68" t="s">
        <v>146</v>
      </c>
      <c r="G27" s="34" t="s">
        <v>62</v>
      </c>
      <c r="H27" s="19" t="s">
        <v>148</v>
      </c>
      <c r="I27" s="19" t="s">
        <v>149</v>
      </c>
      <c r="J27" s="19"/>
    </row>
    <row r="28" spans="1:10" ht="19.5" customHeight="1" x14ac:dyDescent="0.2">
      <c r="A28" s="102"/>
      <c r="B28" s="102"/>
      <c r="C28" s="102"/>
      <c r="D28" s="102"/>
      <c r="E28" s="102"/>
      <c r="F28" s="102"/>
      <c r="G28" s="102"/>
      <c r="H28" s="102"/>
      <c r="I28" s="102"/>
      <c r="J28" s="102"/>
    </row>
    <row r="29" spans="1:10" ht="19.5" customHeight="1" x14ac:dyDescent="0.2">
      <c r="A29" s="33" t="s">
        <v>195</v>
      </c>
      <c r="B29" s="33" t="s">
        <v>196</v>
      </c>
      <c r="C29" s="33" t="s">
        <v>197</v>
      </c>
      <c r="D29" s="33" t="s">
        <v>45</v>
      </c>
      <c r="E29" s="33" t="s">
        <v>162</v>
      </c>
      <c r="F29" s="69" t="s">
        <v>163</v>
      </c>
      <c r="G29" s="34" t="s">
        <v>62</v>
      </c>
      <c r="H29" s="19" t="s">
        <v>148</v>
      </c>
      <c r="I29" s="19" t="s">
        <v>149</v>
      </c>
      <c r="J29" s="19"/>
    </row>
    <row r="30" spans="1:10" ht="19.5" customHeight="1" x14ac:dyDescent="0.2">
      <c r="A30" s="35" t="s">
        <v>198</v>
      </c>
      <c r="B30" s="35" t="s">
        <v>199</v>
      </c>
      <c r="C30" s="35" t="s">
        <v>200</v>
      </c>
      <c r="D30" s="35" t="s">
        <v>99</v>
      </c>
      <c r="E30" s="35" t="s">
        <v>201</v>
      </c>
      <c r="F30" s="68" t="s">
        <v>146</v>
      </c>
      <c r="G30" s="34" t="s">
        <v>62</v>
      </c>
      <c r="H30" s="19" t="s">
        <v>148</v>
      </c>
      <c r="I30" s="19" t="s">
        <v>149</v>
      </c>
      <c r="J30" s="19"/>
    </row>
    <row r="31" spans="1:10" ht="19.5" customHeight="1" x14ac:dyDescent="0.2">
      <c r="A31" s="33" t="s">
        <v>159</v>
      </c>
      <c r="B31" s="33"/>
      <c r="C31" s="33"/>
      <c r="D31" s="35" t="s">
        <v>99</v>
      </c>
      <c r="E31" s="33"/>
      <c r="F31" s="33"/>
      <c r="G31" s="34" t="s">
        <v>62</v>
      </c>
      <c r="H31" s="19" t="s">
        <v>148</v>
      </c>
      <c r="I31" s="19" t="s">
        <v>149</v>
      </c>
      <c r="J31" s="19"/>
    </row>
    <row r="32" spans="1:10" ht="19.5" customHeight="1" x14ac:dyDescent="0.2">
      <c r="A32" s="35" t="s">
        <v>202</v>
      </c>
      <c r="B32" s="35" t="s">
        <v>203</v>
      </c>
      <c r="C32" s="35" t="s">
        <v>204</v>
      </c>
      <c r="D32" s="35" t="s">
        <v>45</v>
      </c>
      <c r="E32" s="33" t="s">
        <v>205</v>
      </c>
      <c r="F32" s="33" t="s">
        <v>158</v>
      </c>
      <c r="G32" s="34" t="s">
        <v>164</v>
      </c>
      <c r="H32" s="19" t="s">
        <v>148</v>
      </c>
      <c r="I32" s="19" t="s">
        <v>149</v>
      </c>
      <c r="J32" s="19"/>
    </row>
    <row r="33" spans="1:10" ht="19.5" customHeight="1" x14ac:dyDescent="0.2">
      <c r="A33" s="33" t="s">
        <v>206</v>
      </c>
      <c r="B33" s="33" t="s">
        <v>207</v>
      </c>
      <c r="C33" s="33" t="s">
        <v>208</v>
      </c>
      <c r="D33" s="33" t="s">
        <v>99</v>
      </c>
      <c r="E33" s="35" t="s">
        <v>209</v>
      </c>
      <c r="F33" s="68" t="s">
        <v>163</v>
      </c>
      <c r="G33" s="34" t="s">
        <v>164</v>
      </c>
      <c r="H33" s="19" t="s">
        <v>148</v>
      </c>
      <c r="I33" s="19" t="s">
        <v>149</v>
      </c>
      <c r="J33" s="19"/>
    </row>
    <row r="34" spans="1:10" ht="19.5" customHeight="1" x14ac:dyDescent="0.2">
      <c r="A34" s="35" t="s">
        <v>210</v>
      </c>
      <c r="B34" s="35" t="s">
        <v>211</v>
      </c>
      <c r="C34" s="35" t="s">
        <v>212</v>
      </c>
      <c r="D34" s="35"/>
      <c r="E34" s="33" t="s">
        <v>162</v>
      </c>
      <c r="F34" s="68" t="s">
        <v>163</v>
      </c>
      <c r="G34" s="34" t="s">
        <v>164</v>
      </c>
      <c r="H34" s="19" t="s">
        <v>148</v>
      </c>
      <c r="I34" s="19" t="s">
        <v>149</v>
      </c>
      <c r="J34" s="19"/>
    </row>
    <row r="35" spans="1:10" ht="19.5" customHeight="1" x14ac:dyDescent="0.2">
      <c r="A35" s="33" t="s">
        <v>213</v>
      </c>
      <c r="B35" s="33" t="s">
        <v>214</v>
      </c>
      <c r="C35" s="33" t="s">
        <v>215</v>
      </c>
      <c r="D35" s="33" t="s">
        <v>45</v>
      </c>
      <c r="E35" s="33" t="s">
        <v>216</v>
      </c>
      <c r="F35" s="68" t="s">
        <v>146</v>
      </c>
      <c r="G35" s="34" t="s">
        <v>164</v>
      </c>
      <c r="H35" s="19" t="s">
        <v>148</v>
      </c>
      <c r="I35" s="19" t="s">
        <v>149</v>
      </c>
      <c r="J35" s="19"/>
    </row>
    <row r="36" spans="1:10" ht="19.5" customHeight="1" x14ac:dyDescent="0.2">
      <c r="A36" s="35" t="s">
        <v>217</v>
      </c>
      <c r="B36" s="35" t="s">
        <v>218</v>
      </c>
      <c r="C36" s="35" t="s">
        <v>212</v>
      </c>
      <c r="D36" s="35"/>
      <c r="E36" s="35" t="s">
        <v>219</v>
      </c>
      <c r="F36" s="68" t="s">
        <v>146</v>
      </c>
      <c r="G36" s="34" t="s">
        <v>147</v>
      </c>
      <c r="H36" s="19" t="s">
        <v>148</v>
      </c>
      <c r="I36" s="19" t="s">
        <v>149</v>
      </c>
      <c r="J36" s="19"/>
    </row>
    <row r="37" spans="1:10" ht="19.5" customHeight="1" x14ac:dyDescent="0.2">
      <c r="A37" s="33" t="s">
        <v>220</v>
      </c>
      <c r="B37" s="33" t="s">
        <v>221</v>
      </c>
      <c r="C37" s="33"/>
      <c r="D37" s="33"/>
      <c r="E37" s="33"/>
      <c r="F37" s="33"/>
      <c r="G37" s="34" t="s">
        <v>147</v>
      </c>
      <c r="H37" s="19" t="s">
        <v>148</v>
      </c>
      <c r="I37" s="19" t="s">
        <v>149</v>
      </c>
      <c r="J37" s="19"/>
    </row>
    <row r="38" spans="1:10" ht="19.5" customHeight="1" x14ac:dyDescent="0.2">
      <c r="A38" s="102"/>
      <c r="B38" s="102"/>
      <c r="C38" s="102"/>
      <c r="D38" s="102"/>
      <c r="E38" s="102"/>
      <c r="F38" s="102"/>
      <c r="G38" s="102"/>
      <c r="H38" s="102"/>
      <c r="I38" s="102"/>
      <c r="J38" s="102"/>
    </row>
    <row r="39" spans="1:10" ht="54" customHeight="1" x14ac:dyDescent="0.2">
      <c r="A39" s="79" t="s">
        <v>222</v>
      </c>
      <c r="B39" s="79" t="s">
        <v>223</v>
      </c>
      <c r="C39" s="79" t="s">
        <v>224</v>
      </c>
      <c r="D39" s="79" t="s">
        <v>225</v>
      </c>
      <c r="E39" s="79" t="s">
        <v>226</v>
      </c>
      <c r="F39" s="79" t="s">
        <v>227</v>
      </c>
      <c r="G39" s="77" t="s">
        <v>147</v>
      </c>
      <c r="H39" s="78" t="s">
        <v>228</v>
      </c>
      <c r="I39" s="78" t="s">
        <v>229</v>
      </c>
      <c r="J39" s="19"/>
    </row>
    <row r="40" spans="1:10" ht="54" customHeight="1" x14ac:dyDescent="0.2">
      <c r="A40" s="75" t="s">
        <v>230</v>
      </c>
      <c r="B40" s="75" t="s">
        <v>231</v>
      </c>
      <c r="C40" s="75" t="s">
        <v>232</v>
      </c>
      <c r="D40" s="75" t="s">
        <v>99</v>
      </c>
      <c r="E40" s="75" t="s">
        <v>233</v>
      </c>
      <c r="F40" s="75" t="s">
        <v>227</v>
      </c>
      <c r="G40" s="77" t="s">
        <v>147</v>
      </c>
      <c r="H40" s="78" t="s">
        <v>234</v>
      </c>
      <c r="I40" s="78" t="s">
        <v>235</v>
      </c>
      <c r="J40" s="19"/>
    </row>
    <row r="41" spans="1:10" ht="54" customHeight="1" x14ac:dyDescent="0.2">
      <c r="A41" s="79" t="s">
        <v>236</v>
      </c>
      <c r="B41" s="79" t="s">
        <v>237</v>
      </c>
      <c r="C41" s="79" t="s">
        <v>238</v>
      </c>
      <c r="D41" s="79" t="s">
        <v>225</v>
      </c>
      <c r="E41" s="79" t="s">
        <v>226</v>
      </c>
      <c r="F41" s="79" t="s">
        <v>227</v>
      </c>
      <c r="G41" s="77" t="s">
        <v>147</v>
      </c>
      <c r="H41" s="78" t="s">
        <v>239</v>
      </c>
      <c r="I41" s="78" t="s">
        <v>229</v>
      </c>
      <c r="J41" s="19"/>
    </row>
    <row r="42" spans="1:10" ht="54" customHeight="1" x14ac:dyDescent="0.2">
      <c r="A42" s="75" t="s">
        <v>240</v>
      </c>
      <c r="B42" s="75" t="s">
        <v>241</v>
      </c>
      <c r="C42" s="75" t="s">
        <v>242</v>
      </c>
      <c r="D42" s="75" t="s">
        <v>225</v>
      </c>
      <c r="E42" s="75" t="s">
        <v>243</v>
      </c>
      <c r="F42" s="75" t="s">
        <v>227</v>
      </c>
      <c r="G42" s="77" t="s">
        <v>62</v>
      </c>
      <c r="H42" s="78" t="s">
        <v>244</v>
      </c>
      <c r="I42" s="78" t="s">
        <v>245</v>
      </c>
      <c r="J42" s="19"/>
    </row>
    <row r="43" spans="1:10" ht="54" customHeight="1" x14ac:dyDescent="0.2">
      <c r="A43" s="79" t="s">
        <v>246</v>
      </c>
      <c r="B43" s="79" t="s">
        <v>247</v>
      </c>
      <c r="C43" s="79" t="s">
        <v>248</v>
      </c>
      <c r="D43" s="79" t="s">
        <v>225</v>
      </c>
      <c r="E43" s="79" t="s">
        <v>249</v>
      </c>
      <c r="F43" s="79" t="s">
        <v>227</v>
      </c>
      <c r="G43" s="77" t="s">
        <v>86</v>
      </c>
      <c r="H43" s="78" t="s">
        <v>250</v>
      </c>
      <c r="I43" s="78" t="s">
        <v>121</v>
      </c>
      <c r="J43" s="19"/>
    </row>
    <row r="45" spans="1:10" ht="26" customHeight="1" x14ac:dyDescent="0.2">
      <c r="A45" s="100"/>
      <c r="B45" s="36" t="s">
        <v>251</v>
      </c>
    </row>
    <row r="46" spans="1:10" ht="19.5" customHeight="1" x14ac:dyDescent="0.2">
      <c r="A46" s="99"/>
      <c r="B46" s="106" t="s">
        <v>252</v>
      </c>
      <c r="C46" s="102"/>
      <c r="D46" s="102"/>
      <c r="E46" s="102"/>
      <c r="F46" s="102"/>
    </row>
    <row r="47" spans="1:10" ht="19.5" customHeight="1" x14ac:dyDescent="0.2">
      <c r="A47" s="99"/>
      <c r="B47" s="106" t="s">
        <v>252</v>
      </c>
      <c r="C47" s="102"/>
      <c r="D47" s="102"/>
      <c r="E47" s="102"/>
      <c r="F47" s="102"/>
    </row>
    <row r="48" spans="1:10" ht="19.5" customHeight="1" x14ac:dyDescent="0.2">
      <c r="A48" s="99"/>
      <c r="B48" s="106" t="s">
        <v>252</v>
      </c>
      <c r="C48" s="102"/>
      <c r="D48" s="102"/>
      <c r="E48" s="102"/>
      <c r="F48" s="102"/>
    </row>
    <row r="49" spans="1:6" ht="19.5" customHeight="1" x14ac:dyDescent="0.2">
      <c r="A49" s="99"/>
      <c r="B49" s="106" t="s">
        <v>253</v>
      </c>
      <c r="C49" s="102"/>
      <c r="D49" s="102"/>
      <c r="E49" s="102"/>
      <c r="F49" s="102"/>
    </row>
    <row r="50" spans="1:6" ht="19.5" customHeight="1" x14ac:dyDescent="0.2">
      <c r="A50" s="99"/>
      <c r="B50" s="106" t="s">
        <v>254</v>
      </c>
      <c r="C50" s="102"/>
      <c r="D50" s="102"/>
      <c r="E50" s="102"/>
      <c r="F50" s="102"/>
    </row>
  </sheetData>
  <mergeCells count="10">
    <mergeCell ref="G1:J1"/>
    <mergeCell ref="B47:F47"/>
    <mergeCell ref="B46:F46"/>
    <mergeCell ref="B49:F49"/>
    <mergeCell ref="B48:F48"/>
    <mergeCell ref="A16:J16"/>
    <mergeCell ref="A38:J38"/>
    <mergeCell ref="A1:F1"/>
    <mergeCell ref="B50:F50"/>
    <mergeCell ref="A28:J28"/>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08435-BAD5-E744-8A18-141CE01F0748}">
  <dimension ref="A1:D22"/>
  <sheetViews>
    <sheetView tabSelected="1" topLeftCell="A3" workbookViewId="0">
      <selection activeCell="D37" sqref="D37"/>
    </sheetView>
  </sheetViews>
  <sheetFormatPr baseColWidth="10" defaultRowHeight="15" x14ac:dyDescent="0.2"/>
  <cols>
    <col min="1" max="1" width="35.6640625" bestFit="1" customWidth="1"/>
    <col min="2" max="2" width="14.83203125" bestFit="1" customWidth="1"/>
    <col min="3" max="3" width="8.6640625" bestFit="1" customWidth="1"/>
    <col min="4" max="4" width="10" bestFit="1" customWidth="1"/>
    <col min="5" max="5" width="12.1640625" bestFit="1" customWidth="1"/>
  </cols>
  <sheetData>
    <row r="1" spans="1:4" x14ac:dyDescent="0.2">
      <c r="A1" s="136" t="s">
        <v>265</v>
      </c>
      <c r="B1" t="s">
        <v>279</v>
      </c>
    </row>
    <row r="3" spans="1:4" x14ac:dyDescent="0.2">
      <c r="A3" s="136" t="s">
        <v>583</v>
      </c>
      <c r="B3" s="136" t="s">
        <v>580</v>
      </c>
    </row>
    <row r="4" spans="1:4" x14ac:dyDescent="0.2">
      <c r="A4" s="136" t="s">
        <v>582</v>
      </c>
      <c r="B4" t="s">
        <v>296</v>
      </c>
      <c r="C4" t="s">
        <v>526</v>
      </c>
      <c r="D4" t="s">
        <v>581</v>
      </c>
    </row>
    <row r="5" spans="1:4" x14ac:dyDescent="0.2">
      <c r="A5" s="137" t="s">
        <v>280</v>
      </c>
      <c r="B5" s="140">
        <v>1769.0520068827475</v>
      </c>
      <c r="C5" s="140">
        <v>9238.6688751481179</v>
      </c>
      <c r="D5" s="140">
        <v>11007.720882030866</v>
      </c>
    </row>
    <row r="6" spans="1:4" x14ac:dyDescent="0.2">
      <c r="A6" s="138" t="s">
        <v>540</v>
      </c>
      <c r="B6" s="140">
        <v>1478.7060151843175</v>
      </c>
      <c r="C6" s="140">
        <v>3721.0703775813654</v>
      </c>
      <c r="D6" s="140">
        <v>5199.7763927656833</v>
      </c>
    </row>
    <row r="7" spans="1:4" x14ac:dyDescent="0.2">
      <c r="A7" s="138" t="s">
        <v>539</v>
      </c>
      <c r="B7" s="140">
        <v>290.34599169842994</v>
      </c>
      <c r="C7" s="140">
        <v>1137.3980674469119</v>
      </c>
      <c r="D7" s="140">
        <v>1427.7440591453419</v>
      </c>
    </row>
    <row r="8" spans="1:4" x14ac:dyDescent="0.2">
      <c r="A8" s="138" t="s">
        <v>538</v>
      </c>
      <c r="B8" s="140"/>
      <c r="C8" s="140">
        <v>1434.0784802557157</v>
      </c>
      <c r="D8" s="140">
        <v>1434.0784802557157</v>
      </c>
    </row>
    <row r="9" spans="1:4" x14ac:dyDescent="0.2">
      <c r="A9" s="138" t="s">
        <v>283</v>
      </c>
      <c r="B9" s="140"/>
      <c r="C9" s="140">
        <v>2946.1219498641249</v>
      </c>
      <c r="D9" s="140">
        <v>2946.1219498641249</v>
      </c>
    </row>
    <row r="10" spans="1:4" x14ac:dyDescent="0.2">
      <c r="A10" s="137" t="s">
        <v>288</v>
      </c>
      <c r="B10" s="140">
        <v>12.882566571517003</v>
      </c>
      <c r="C10" s="140">
        <v>106.2294640677332</v>
      </c>
      <c r="D10" s="140">
        <v>119.11203063925021</v>
      </c>
    </row>
    <row r="11" spans="1:4" x14ac:dyDescent="0.2">
      <c r="A11" s="138" t="s">
        <v>543</v>
      </c>
      <c r="B11" s="140">
        <v>12.877252753854933</v>
      </c>
      <c r="C11" s="140">
        <v>19.329785722326861</v>
      </c>
      <c r="D11" s="140">
        <v>32.207038476181793</v>
      </c>
    </row>
    <row r="12" spans="1:4" x14ac:dyDescent="0.2">
      <c r="A12" s="138" t="s">
        <v>289</v>
      </c>
      <c r="B12" s="140"/>
      <c r="C12" s="140">
        <v>53.647555031060733</v>
      </c>
      <c r="D12" s="140">
        <v>53.647555031060733</v>
      </c>
    </row>
    <row r="13" spans="1:4" x14ac:dyDescent="0.2">
      <c r="A13" s="138" t="s">
        <v>530</v>
      </c>
      <c r="B13" s="140">
        <v>5.3138176620701784E-3</v>
      </c>
      <c r="C13" s="140">
        <v>33.25212331434561</v>
      </c>
      <c r="D13" s="140">
        <v>33.257437132007681</v>
      </c>
    </row>
    <row r="14" spans="1:4" x14ac:dyDescent="0.2">
      <c r="A14" s="137" t="s">
        <v>562</v>
      </c>
      <c r="B14" s="140">
        <v>3827.7497235325927</v>
      </c>
      <c r="C14" s="140">
        <v>3135.8245255744023</v>
      </c>
      <c r="D14" s="140">
        <v>6963.574249106995</v>
      </c>
    </row>
    <row r="15" spans="1:4" x14ac:dyDescent="0.2">
      <c r="A15" s="138" t="s">
        <v>563</v>
      </c>
      <c r="B15" s="140">
        <v>3827.7497235325927</v>
      </c>
      <c r="C15" s="140">
        <v>3135.8245255744023</v>
      </c>
      <c r="D15" s="140">
        <v>6963.574249106995</v>
      </c>
    </row>
    <row r="16" spans="1:4" x14ac:dyDescent="0.2">
      <c r="A16" s="137" t="s">
        <v>293</v>
      </c>
      <c r="B16" s="140">
        <v>535.73939442327583</v>
      </c>
      <c r="C16" s="140">
        <v>777.06706365675279</v>
      </c>
      <c r="D16" s="140">
        <v>1312.8064580800287</v>
      </c>
    </row>
    <row r="17" spans="1:4" x14ac:dyDescent="0.2">
      <c r="A17" s="138" t="s">
        <v>548</v>
      </c>
      <c r="B17" s="140">
        <v>6.6094666360079612</v>
      </c>
      <c r="C17" s="140"/>
      <c r="D17" s="140">
        <v>6.6094666360079612</v>
      </c>
    </row>
    <row r="18" spans="1:4" x14ac:dyDescent="0.2">
      <c r="A18" s="138" t="s">
        <v>542</v>
      </c>
      <c r="B18" s="140">
        <v>8.8495699773042595</v>
      </c>
      <c r="C18" s="140"/>
      <c r="D18" s="140">
        <v>8.8495699773042595</v>
      </c>
    </row>
    <row r="19" spans="1:4" x14ac:dyDescent="0.2">
      <c r="A19" s="138" t="s">
        <v>529</v>
      </c>
      <c r="B19" s="140"/>
      <c r="C19" s="140">
        <v>167.42728129845111</v>
      </c>
      <c r="D19" s="140">
        <v>167.42728129845111</v>
      </c>
    </row>
    <row r="20" spans="1:4" x14ac:dyDescent="0.2">
      <c r="A20" s="138" t="s">
        <v>528</v>
      </c>
      <c r="B20" s="140">
        <v>256.63346236792222</v>
      </c>
      <c r="C20" s="140">
        <v>472.54250248069877</v>
      </c>
      <c r="D20" s="140">
        <v>729.17596484862099</v>
      </c>
    </row>
    <row r="21" spans="1:4" x14ac:dyDescent="0.2">
      <c r="A21" s="138" t="s">
        <v>541</v>
      </c>
      <c r="B21" s="140">
        <v>263.64689544204145</v>
      </c>
      <c r="C21" s="140">
        <v>137.09727987760286</v>
      </c>
      <c r="D21" s="140">
        <v>400.74417531964434</v>
      </c>
    </row>
    <row r="22" spans="1:4" x14ac:dyDescent="0.2">
      <c r="A22" s="137" t="s">
        <v>581</v>
      </c>
      <c r="B22" s="140">
        <v>6145.423691410133</v>
      </c>
      <c r="C22" s="140">
        <v>13257.789928447004</v>
      </c>
      <c r="D22" s="140">
        <v>19403.213619857142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1F32E-1902-DD41-92BB-695D34E1F5E8}">
  <dimension ref="A1:I342"/>
  <sheetViews>
    <sheetView topLeftCell="A167" zoomScale="120" zoomScaleNormal="120" workbookViewId="0">
      <selection activeCell="I187" sqref="I187:I192"/>
    </sheetView>
  </sheetViews>
  <sheetFormatPr baseColWidth="10" defaultRowHeight="15" x14ac:dyDescent="0.2"/>
  <cols>
    <col min="3" max="3" width="24.83203125" customWidth="1"/>
    <col min="4" max="4" width="14.6640625" bestFit="1" customWidth="1"/>
    <col min="7" max="7" width="14.1640625" customWidth="1"/>
  </cols>
  <sheetData>
    <row r="1" spans="1:9" ht="39" x14ac:dyDescent="0.2">
      <c r="A1" s="98" t="s">
        <v>265</v>
      </c>
      <c r="B1" s="98" t="s">
        <v>266</v>
      </c>
      <c r="C1" s="98" t="s">
        <v>46</v>
      </c>
      <c r="D1" s="98" t="s">
        <v>553</v>
      </c>
      <c r="E1" s="98" t="s">
        <v>527</v>
      </c>
      <c r="F1" s="98" t="s">
        <v>49</v>
      </c>
      <c r="G1" s="98" t="s">
        <v>268</v>
      </c>
      <c r="H1" s="98" t="s">
        <v>573</v>
      </c>
      <c r="I1" s="98" t="s">
        <v>574</v>
      </c>
    </row>
    <row r="2" spans="1:9" ht="26" x14ac:dyDescent="0.2">
      <c r="A2" s="13" t="s">
        <v>279</v>
      </c>
      <c r="B2" s="14" t="s">
        <v>288</v>
      </c>
      <c r="C2" s="23" t="s">
        <v>530</v>
      </c>
      <c r="D2" s="73">
        <v>5</v>
      </c>
      <c r="E2" s="74" t="s">
        <v>296</v>
      </c>
      <c r="F2" s="17" t="s">
        <v>290</v>
      </c>
      <c r="G2" s="18">
        <v>2019</v>
      </c>
      <c r="H2" s="135">
        <f>$D2/IF($E2="S",_xlfn.XLOOKUP($G2,Tables_for_Reference!$J$15:$J$21,Tables_for_Reference!$I$15:$I$21),IF(ESG!$E2="W",_xlfn.XLOOKUP(ESG!$G2,Tables_for_Reference!$J$15:$J$21,Tables_for_Reference!$H$15:$H$21),"Error"))</f>
        <v>5.5260831122900091E-4</v>
      </c>
      <c r="I2" s="135">
        <f>$D2/IF($E2="S",_xlfn.XLOOKUP($G2,Tables_for_Reference!$J$24:$J$29,Tables_for_Reference!$I$24:$I$29),IF(ESG!E2="W",_xlfn.XLOOKUP(ESG!G2,Tables_for_Reference!$J$24:$J$29,Tables_for_Reference!$H$24:$H$29),"Error"))</f>
        <v>6.0941423104112326E-4</v>
      </c>
    </row>
    <row r="3" spans="1:9" ht="26" x14ac:dyDescent="0.2">
      <c r="A3" s="13" t="s">
        <v>279</v>
      </c>
      <c r="B3" s="14" t="s">
        <v>288</v>
      </c>
      <c r="C3" s="23" t="s">
        <v>530</v>
      </c>
      <c r="D3" s="73">
        <v>6</v>
      </c>
      <c r="E3" s="74" t="s">
        <v>296</v>
      </c>
      <c r="F3" s="17" t="s">
        <v>290</v>
      </c>
      <c r="G3" s="18">
        <v>2021</v>
      </c>
      <c r="H3" s="135">
        <f>D3/IF(E3="S",_xlfn.XLOOKUP($G3,Tables_for_Reference!$J$15:$J$21,Tables_for_Reference!$I$15:$I$21),IF(ESG!$E3="W",_xlfn.XLOOKUP(ESG!$G3,Tables_for_Reference!$J$15:$J$21,Tables_for_Reference!$H$15:$H$21),"Error"))</f>
        <v>5.9364796675571388E-4</v>
      </c>
      <c r="I3" s="135">
        <f>$D3/IF($E3="S",_xlfn.XLOOKUP($G3,Tables_for_Reference!$J$24:$J$29,Tables_for_Reference!$I$24:$I$29),IF(ESG!E3="W",_xlfn.XLOOKUP(ESG!G3,Tables_for_Reference!$J$24:$J$29,Tables_for_Reference!$H$24:$H$29),"Error"))</f>
        <v>4.8028817290374226E-4</v>
      </c>
    </row>
    <row r="4" spans="1:9" ht="26" x14ac:dyDescent="0.2">
      <c r="A4" s="13" t="s">
        <v>279</v>
      </c>
      <c r="B4" s="14" t="s">
        <v>288</v>
      </c>
      <c r="C4" s="23" t="s">
        <v>530</v>
      </c>
      <c r="D4" s="73">
        <v>6</v>
      </c>
      <c r="E4" s="74" t="s">
        <v>296</v>
      </c>
      <c r="F4" s="17" t="s">
        <v>290</v>
      </c>
      <c r="G4" s="18">
        <v>2020</v>
      </c>
      <c r="H4" s="135">
        <f>D4/IF(E4="S",_xlfn.XLOOKUP($G4,Tables_for_Reference!$J$15:$J$21,Tables_for_Reference!$I$15:$I$21),IF(ESG!$E4="W",_xlfn.XLOOKUP(ESG!$G4,Tables_for_Reference!$J$15:$J$21,Tables_for_Reference!$H$15:$H$21),"Error"))</f>
        <v>7.0339976553341146E-4</v>
      </c>
      <c r="I4" s="135">
        <f>$D4/IF($E4="S",_xlfn.XLOOKUP($G4,Tables_for_Reference!$J$24:$J$29,Tables_for_Reference!$I$24:$I$29),IF(ESG!E4="W",_xlfn.XLOOKUP(ESG!G4,Tables_for_Reference!$J$24:$J$29,Tables_for_Reference!$H$24:$H$29),"Error"))</f>
        <v>6.0617081893677631E-4</v>
      </c>
    </row>
    <row r="5" spans="1:9" ht="26" x14ac:dyDescent="0.2">
      <c r="A5" s="13" t="s">
        <v>279</v>
      </c>
      <c r="B5" s="14" t="s">
        <v>288</v>
      </c>
      <c r="C5" s="23" t="s">
        <v>530</v>
      </c>
      <c r="D5" s="73">
        <v>8</v>
      </c>
      <c r="E5" s="74" t="s">
        <v>296</v>
      </c>
      <c r="F5" s="17" t="s">
        <v>290</v>
      </c>
      <c r="G5" s="18">
        <v>2022</v>
      </c>
      <c r="H5" s="135">
        <f>D5/IF(E5="S",_xlfn.XLOOKUP($G5,Tables_for_Reference!$J$15:$J$21,Tables_for_Reference!$I$15:$I$21),IF(ESG!$E5="W",_xlfn.XLOOKUP(ESG!$G5,Tables_for_Reference!$J$15:$J$21,Tables_for_Reference!$H$15:$H$21),"Error"))</f>
        <v>6.2426843542723375E-4</v>
      </c>
      <c r="I5" s="135">
        <f>$D5/IF($E5="S",_xlfn.XLOOKUP($G5,Tables_for_Reference!$J$24:$J$29,Tables_for_Reference!$I$24:$I$29),IF(ESG!E5="W",_xlfn.XLOOKUP(ESG!G5,Tables_for_Reference!$J$24:$J$29,Tables_for_Reference!$H$24:$H$29),"Error"))</f>
        <v>8.903728436282693E-4</v>
      </c>
    </row>
    <row r="6" spans="1:9" ht="26" x14ac:dyDescent="0.2">
      <c r="A6" s="13" t="s">
        <v>279</v>
      </c>
      <c r="B6" s="14" t="s">
        <v>288</v>
      </c>
      <c r="C6" s="23" t="s">
        <v>530</v>
      </c>
      <c r="D6" s="73">
        <v>11</v>
      </c>
      <c r="E6" s="74" t="s">
        <v>296</v>
      </c>
      <c r="F6" s="17" t="s">
        <v>290</v>
      </c>
      <c r="G6" s="18">
        <v>2023</v>
      </c>
      <c r="H6" s="135">
        <f>D6/IF(E6="S",_xlfn.XLOOKUP($G6,Tables_for_Reference!$J$15:$J$21,Tables_for_Reference!$I$15:$I$21),IF(ESG!$E6="W",_xlfn.XLOOKUP(ESG!$G6,Tables_for_Reference!$J$15:$J$21,Tables_for_Reference!$H$15:$H$21),"Error"))</f>
        <v>9.7586941092973737E-4</v>
      </c>
      <c r="I6" s="135">
        <f>$D6/IF($E6="S",_xlfn.XLOOKUP($G6,Tables_for_Reference!$J$24:$J$29,Tables_for_Reference!$I$24:$I$29),IF(ESG!E6="W",_xlfn.XLOOKUP(ESG!G6,Tables_for_Reference!$J$24:$J$29,Tables_for_Reference!$H$24:$H$29),"Error"))</f>
        <v>1.1739093315119953E-3</v>
      </c>
    </row>
    <row r="7" spans="1:9" ht="26" x14ac:dyDescent="0.2">
      <c r="A7" s="13" t="s">
        <v>279</v>
      </c>
      <c r="B7" s="14" t="s">
        <v>288</v>
      </c>
      <c r="C7" s="23" t="s">
        <v>530</v>
      </c>
      <c r="D7" s="73">
        <v>22</v>
      </c>
      <c r="E7" s="74" t="s">
        <v>296</v>
      </c>
      <c r="F7" s="17" t="s">
        <v>290</v>
      </c>
      <c r="G7" s="18">
        <v>2024</v>
      </c>
      <c r="H7" s="135">
        <f>D7/IF(E7="S",_xlfn.XLOOKUP($G7,Tables_for_Reference!$J$15:$J$21,Tables_for_Reference!$I$15:$I$21),IF(ESG!$E7="W",_xlfn.XLOOKUP(ESG!$G7,Tables_for_Reference!$J$15:$J$21,Tables_for_Reference!$H$15:$H$21),"Error"))</f>
        <v>2.9200727401566128E-3</v>
      </c>
      <c r="I7" s="135">
        <f>$D7/IF($E7="S",_xlfn.XLOOKUP($G7,Tables_for_Reference!$J$24:$J$29,Tables_for_Reference!$I$24:$I$29),IF(ESG!E7="W",_xlfn.XLOOKUP(ESG!G7,Tables_for_Reference!$J$24:$J$29,Tables_for_Reference!$H$24:$H$29),"Error"))</f>
        <v>1.5536622640482719E-3</v>
      </c>
    </row>
    <row r="8" spans="1:9" ht="26" x14ac:dyDescent="0.2">
      <c r="A8" s="13" t="s">
        <v>279</v>
      </c>
      <c r="B8" s="14" t="s">
        <v>280</v>
      </c>
      <c r="C8" s="15" t="s">
        <v>539</v>
      </c>
      <c r="D8" s="73">
        <v>467</v>
      </c>
      <c r="E8" s="74" t="s">
        <v>296</v>
      </c>
      <c r="F8" s="17" t="s">
        <v>281</v>
      </c>
      <c r="G8" s="18">
        <v>2023</v>
      </c>
      <c r="H8" s="135">
        <f>D8/IF(E8="S",_xlfn.XLOOKUP($G8,Tables_for_Reference!$J$15:$J$21,Tables_for_Reference!$I$15:$I$21),IF(ESG!$E8="W",_xlfn.XLOOKUP(ESG!$G8,Tables_for_Reference!$J$15:$J$21,Tables_for_Reference!$H$15:$H$21),"Error"))</f>
        <v>4.1430092264017032E-2</v>
      </c>
      <c r="I8" s="135">
        <f>$D8/IF($E8="S",_xlfn.XLOOKUP($G8,Tables_for_Reference!$J$24:$J$29,Tables_for_Reference!$I$24:$I$29),IF(ESG!E8="W",_xlfn.XLOOKUP(ESG!G8,Tables_for_Reference!$J$24:$J$29,Tables_for_Reference!$H$24:$H$29),"Error"))</f>
        <v>4.9837787074191071E-2</v>
      </c>
    </row>
    <row r="9" spans="1:9" x14ac:dyDescent="0.2">
      <c r="A9" s="13" t="s">
        <v>279</v>
      </c>
      <c r="B9" s="22" t="s">
        <v>291</v>
      </c>
      <c r="C9" s="23" t="s">
        <v>535</v>
      </c>
      <c r="D9" s="73">
        <v>8389.545454545454</v>
      </c>
      <c r="E9" s="74" t="s">
        <v>526</v>
      </c>
      <c r="F9" s="24" t="s">
        <v>295</v>
      </c>
      <c r="G9" s="18">
        <v>2024</v>
      </c>
      <c r="H9" s="135">
        <f>D9/IF(E9="S",_xlfn.XLOOKUP($G9,Tables_for_Reference!$J$15:$J$21,Tables_for_Reference!$I$15:$I$21),IF(ESG!$E9="W",_xlfn.XLOOKUP(ESG!$G9,Tables_for_Reference!$J$15:$J$21,Tables_for_Reference!$H$15:$H$21),"Error"))</f>
        <v>0.61801707935417938</v>
      </c>
      <c r="I9" s="135">
        <f>$D9/IF($E9="S",_xlfn.XLOOKUP($G9,Tables_for_Reference!$J$24:$J$29,Tables_for_Reference!$I$24:$I$29),IF(ESG!E9="W",_xlfn.XLOOKUP(ESG!G9,Tables_for_Reference!$J$24:$J$29,Tables_for_Reference!$H$24:$H$29),"Error"))</f>
        <v>0.60482592343584662</v>
      </c>
    </row>
    <row r="10" spans="1:9" x14ac:dyDescent="0.2">
      <c r="A10" s="13" t="s">
        <v>279</v>
      </c>
      <c r="B10" s="14" t="s">
        <v>293</v>
      </c>
      <c r="C10" s="15" t="s">
        <v>548</v>
      </c>
      <c r="D10" s="73">
        <v>8774</v>
      </c>
      <c r="E10" s="74" t="s">
        <v>296</v>
      </c>
      <c r="F10" s="17" t="s">
        <v>295</v>
      </c>
      <c r="G10" s="18">
        <v>2021</v>
      </c>
      <c r="H10" s="135">
        <f>D10/IF(E10="S",_xlfn.XLOOKUP($G10,Tables_for_Reference!$J$15:$J$21,Tables_for_Reference!$I$15:$I$21),IF(ESG!$E10="W",_xlfn.XLOOKUP(ESG!$G10,Tables_for_Reference!$J$15:$J$21,Tables_for_Reference!$H$15:$H$21),"Error"))</f>
        <v>0.86811121005243885</v>
      </c>
      <c r="I10" s="135">
        <f>$D10/IF($E10="S",_xlfn.XLOOKUP($G10,Tables_for_Reference!$J$24:$J$29,Tables_for_Reference!$I$24:$I$29),IF(ESG!E10="W",_xlfn.XLOOKUP(ESG!G10,Tables_for_Reference!$J$24:$J$29,Tables_for_Reference!$H$24:$H$29),"Error"))</f>
        <v>0.70234140484290575</v>
      </c>
    </row>
    <row r="11" spans="1:9" x14ac:dyDescent="0.2">
      <c r="A11" s="13" t="s">
        <v>279</v>
      </c>
      <c r="B11" s="22" t="s">
        <v>291</v>
      </c>
      <c r="C11" s="23" t="s">
        <v>535</v>
      </c>
      <c r="D11" s="73">
        <v>8875.4545454545441</v>
      </c>
      <c r="E11" s="74" t="s">
        <v>526</v>
      </c>
      <c r="F11" s="24" t="s">
        <v>295</v>
      </c>
      <c r="G11" s="18">
        <v>2023</v>
      </c>
      <c r="H11" s="135">
        <f>D11/IF(E11="S",_xlfn.XLOOKUP($G11,Tables_for_Reference!$J$15:$J$21,Tables_for_Reference!$I$15:$I$21),IF(ESG!$E11="W",_xlfn.XLOOKUP(ESG!$G11,Tables_for_Reference!$J$15:$J$21,Tables_for_Reference!$H$15:$H$21),"Error"))</f>
        <v>0.43699923906718585</v>
      </c>
      <c r="I11" s="135">
        <f>$D11/IF($E11="S",_xlfn.XLOOKUP($G11,Tables_for_Reference!$J$24:$J$29,Tables_for_Reference!$I$24:$I$29),IF(ESG!E11="W",_xlfn.XLOOKUP(ESG!G11,Tables_for_Reference!$J$24:$J$29,Tables_for_Reference!$H$24:$H$29),"Error"))</f>
        <v>0.96691990995354049</v>
      </c>
    </row>
    <row r="12" spans="1:9" x14ac:dyDescent="0.2">
      <c r="A12" s="13" t="s">
        <v>279</v>
      </c>
      <c r="B12" s="14" t="s">
        <v>293</v>
      </c>
      <c r="C12" s="15" t="s">
        <v>542</v>
      </c>
      <c r="D12" s="73">
        <v>9002</v>
      </c>
      <c r="E12" s="74" t="s">
        <v>296</v>
      </c>
      <c r="F12" s="17" t="s">
        <v>295</v>
      </c>
      <c r="G12" s="18">
        <v>2020</v>
      </c>
      <c r="H12" s="135">
        <f>D12/IF(E12="S",_xlfn.XLOOKUP($G12,Tables_for_Reference!$J$15:$J$21,Tables_for_Reference!$I$15:$I$21),IF(ESG!$E12="W",_xlfn.XLOOKUP(ESG!$G12,Tables_for_Reference!$J$15:$J$21,Tables_for_Reference!$H$15:$H$21),"Error"))</f>
        <v>1.0553341148886284</v>
      </c>
      <c r="I12" s="135">
        <f>$D12/IF($E12="S",_xlfn.XLOOKUP($G12,Tables_for_Reference!$J$24:$J$29,Tables_for_Reference!$I$24:$I$29),IF(ESG!E12="W",_xlfn.XLOOKUP(ESG!G12,Tables_for_Reference!$J$24:$J$29,Tables_for_Reference!$H$24:$H$29),"Error"))</f>
        <v>0.9094582853448101</v>
      </c>
    </row>
    <row r="13" spans="1:9" x14ac:dyDescent="0.2">
      <c r="A13" s="13" t="s">
        <v>279</v>
      </c>
      <c r="B13" s="22" t="s">
        <v>291</v>
      </c>
      <c r="C13" s="23" t="s">
        <v>535</v>
      </c>
      <c r="D13" s="73">
        <v>9255</v>
      </c>
      <c r="E13" s="74" t="s">
        <v>526</v>
      </c>
      <c r="F13" s="24" t="s">
        <v>295</v>
      </c>
      <c r="G13" s="18">
        <v>2020</v>
      </c>
      <c r="H13" s="135">
        <f>D13/IF(E13="S",_xlfn.XLOOKUP($G13,Tables_for_Reference!$J$15:$J$21,Tables_for_Reference!$I$15:$I$21),IF(ESG!$E13="W",_xlfn.XLOOKUP(ESG!$G13,Tables_for_Reference!$J$15:$J$21,Tables_for_Reference!$H$15:$H$21),"Error"))</f>
        <v>0.52648644958700253</v>
      </c>
      <c r="I13" s="135">
        <f>$D13/IF($E13="S",_xlfn.XLOOKUP($G13,Tables_for_Reference!$J$24:$J$29,Tables_for_Reference!$I$24:$I$29),IF(ESG!E13="W",_xlfn.XLOOKUP(ESG!G13,Tables_for_Reference!$J$24:$J$29,Tables_for_Reference!$H$24:$H$29),"Error"))</f>
        <v>1.0230702054983807</v>
      </c>
    </row>
    <row r="14" spans="1:9" x14ac:dyDescent="0.2">
      <c r="A14" s="13" t="s">
        <v>279</v>
      </c>
      <c r="B14" s="14" t="s">
        <v>293</v>
      </c>
      <c r="C14" s="15" t="s">
        <v>548</v>
      </c>
      <c r="D14" s="73">
        <v>9655</v>
      </c>
      <c r="E14" s="74" t="s">
        <v>296</v>
      </c>
      <c r="F14" s="17" t="s">
        <v>295</v>
      </c>
      <c r="G14" s="18">
        <v>2019</v>
      </c>
      <c r="H14" s="135">
        <f>D14/IF(E14="S",_xlfn.XLOOKUP($G14,Tables_for_Reference!$J$15:$J$21,Tables_for_Reference!$I$15:$I$21),IF(ESG!$E14="W",_xlfn.XLOOKUP(ESG!$G14,Tables_for_Reference!$J$15:$J$21,Tables_for_Reference!$H$15:$H$21),"Error"))</f>
        <v>1.0670866489832007</v>
      </c>
      <c r="I14" s="135">
        <f>$D14/IF($E14="S",_xlfn.XLOOKUP($G14,Tables_for_Reference!$J$24:$J$29,Tables_for_Reference!$I$24:$I$29),IF(ESG!E14="W",_xlfn.XLOOKUP(ESG!G14,Tables_for_Reference!$J$24:$J$29,Tables_for_Reference!$H$24:$H$29),"Error"))</f>
        <v>1.1767788801404089</v>
      </c>
    </row>
    <row r="15" spans="1:9" x14ac:dyDescent="0.2">
      <c r="A15" s="13" t="s">
        <v>279</v>
      </c>
      <c r="B15" s="22" t="s">
        <v>291</v>
      </c>
      <c r="C15" s="23" t="s">
        <v>535</v>
      </c>
      <c r="D15" s="73">
        <v>9787.2727272727261</v>
      </c>
      <c r="E15" s="74" t="s">
        <v>526</v>
      </c>
      <c r="F15" s="24" t="s">
        <v>295</v>
      </c>
      <c r="G15" s="18">
        <v>2021</v>
      </c>
      <c r="H15" s="135">
        <f>D15/IF(E15="S",_xlfn.XLOOKUP($G15,Tables_for_Reference!$J$15:$J$21,Tables_for_Reference!$I$15:$I$21),IF(ESG!$E15="W",_xlfn.XLOOKUP(ESG!$G15,Tables_for_Reference!$J$15:$J$21,Tables_for_Reference!$H$15:$H$21),"Error"))</f>
        <v>0.5220964748546485</v>
      </c>
      <c r="I15" s="135">
        <f>$D15/IF($E15="S",_xlfn.XLOOKUP($G15,Tables_for_Reference!$J$24:$J$29,Tables_for_Reference!$I$24:$I$29),IF(ESG!E15="W",_xlfn.XLOOKUP(ESG!G15,Tables_for_Reference!$J$24:$J$29,Tables_for_Reference!$H$24:$H$29),"Error"))</f>
        <v>0.74117930535954002</v>
      </c>
    </row>
    <row r="16" spans="1:9" x14ac:dyDescent="0.2">
      <c r="A16" s="13" t="s">
        <v>279</v>
      </c>
      <c r="B16" s="22" t="s">
        <v>291</v>
      </c>
      <c r="C16" s="23" t="s">
        <v>535</v>
      </c>
      <c r="D16" s="73">
        <v>9942.2727272727261</v>
      </c>
      <c r="E16" s="74" t="s">
        <v>526</v>
      </c>
      <c r="F16" s="24" t="s">
        <v>295</v>
      </c>
      <c r="G16" s="18">
        <v>2019</v>
      </c>
      <c r="H16" s="135">
        <f>D16/IF(E16="S",_xlfn.XLOOKUP($G16,Tables_for_Reference!$J$15:$J$21,Tables_for_Reference!$I$15:$I$21),IF(ESG!$E16="W",_xlfn.XLOOKUP(ESG!$G16,Tables_for_Reference!$J$15:$J$21,Tables_for_Reference!$H$15:$H$21),"Error"))</f>
        <v>0.54362035798965092</v>
      </c>
      <c r="I16" s="135">
        <f>$D16/IF($E16="S",_xlfn.XLOOKUP($G16,Tables_for_Reference!$J$24:$J$29,Tables_for_Reference!$I$24:$I$29),IF(ESG!E16="W",_xlfn.XLOOKUP(ESG!G16,Tables_for_Reference!$J$24:$J$29,Tables_for_Reference!$H$24:$H$29),"Error"))</f>
        <v>1.0580487748246985</v>
      </c>
    </row>
    <row r="17" spans="1:9" x14ac:dyDescent="0.2">
      <c r="A17" s="13" t="s">
        <v>279</v>
      </c>
      <c r="B17" s="14" t="s">
        <v>293</v>
      </c>
      <c r="C17" s="15" t="s">
        <v>548</v>
      </c>
      <c r="D17" s="73">
        <v>10046</v>
      </c>
      <c r="E17" s="74" t="s">
        <v>296</v>
      </c>
      <c r="F17" s="17" t="s">
        <v>295</v>
      </c>
      <c r="G17" s="18">
        <v>2020</v>
      </c>
      <c r="H17" s="135">
        <f>D17/IF(E17="S",_xlfn.XLOOKUP($G17,Tables_for_Reference!$J$15:$J$21,Tables_for_Reference!$I$15:$I$21),IF(ESG!$E17="W",_xlfn.XLOOKUP(ESG!$G17,Tables_for_Reference!$J$15:$J$21,Tables_for_Reference!$H$15:$H$21),"Error"))</f>
        <v>1.1777256740914419</v>
      </c>
      <c r="I17" s="135">
        <f>$D17/IF($E17="S",_xlfn.XLOOKUP($G17,Tables_for_Reference!$J$24:$J$29,Tables_for_Reference!$I$24:$I$29),IF(ESG!E17="W",_xlfn.XLOOKUP(ESG!G17,Tables_for_Reference!$J$24:$J$29,Tables_for_Reference!$H$24:$H$29),"Error"))</f>
        <v>1.0149320078398092</v>
      </c>
    </row>
    <row r="18" spans="1:9" x14ac:dyDescent="0.2">
      <c r="A18" s="13" t="s">
        <v>279</v>
      </c>
      <c r="B18" s="22" t="s">
        <v>291</v>
      </c>
      <c r="C18" s="23" t="s">
        <v>535</v>
      </c>
      <c r="D18" s="73">
        <v>10055.454545454544</v>
      </c>
      <c r="E18" s="74" t="s">
        <v>526</v>
      </c>
      <c r="F18" s="24" t="s">
        <v>295</v>
      </c>
      <c r="G18" s="18">
        <v>2022</v>
      </c>
      <c r="H18" s="135">
        <f>D18/IF(E18="S",_xlfn.XLOOKUP($G18,Tables_for_Reference!$J$15:$J$21,Tables_for_Reference!$I$15:$I$21),IF(ESG!$E18="W",_xlfn.XLOOKUP(ESG!$G18,Tables_for_Reference!$J$15:$J$21,Tables_for_Reference!$H$15:$H$21),"Error"))</f>
        <v>0.47305316234820144</v>
      </c>
      <c r="I18" s="135">
        <f>$D18/IF($E18="S",_xlfn.XLOOKUP($G18,Tables_for_Reference!$J$24:$J$29,Tables_for_Reference!$I$24:$I$29),IF(ESG!E18="W",_xlfn.XLOOKUP(ESG!G18,Tables_for_Reference!$J$24:$J$29,Tables_for_Reference!$H$24:$H$29),"Error"))</f>
        <v>1.2795803911043653</v>
      </c>
    </row>
    <row r="19" spans="1:9" x14ac:dyDescent="0.2">
      <c r="A19" s="13" t="s">
        <v>279</v>
      </c>
      <c r="B19" s="22" t="s">
        <v>291</v>
      </c>
      <c r="C19" s="23" t="s">
        <v>535</v>
      </c>
      <c r="D19" s="73">
        <v>11753</v>
      </c>
      <c r="E19" s="74" t="s">
        <v>296</v>
      </c>
      <c r="F19" s="24" t="s">
        <v>295</v>
      </c>
      <c r="G19" s="18">
        <v>2024</v>
      </c>
      <c r="H19" s="135">
        <f>D19/IF(E19="S",_xlfn.XLOOKUP($G19,Tables_for_Reference!$J$15:$J$21,Tables_for_Reference!$I$15:$I$21),IF(ESG!$E19="W",_xlfn.XLOOKUP(ESG!$G19,Tables_for_Reference!$J$15:$J$21,Tables_for_Reference!$H$15:$H$21),"Error"))</f>
        <v>1.5599824961391213</v>
      </c>
      <c r="I19" s="135">
        <f>$D19/IF($E19="S",_xlfn.XLOOKUP($G19,Tables_for_Reference!$J$24:$J$29,Tables_for_Reference!$I$24:$I$29),IF(ESG!E19="W",_xlfn.XLOOKUP(ESG!G19,Tables_for_Reference!$J$24:$J$29,Tables_for_Reference!$H$24:$H$29),"Error"))</f>
        <v>0.83000875406178809</v>
      </c>
    </row>
    <row r="20" spans="1:9" x14ac:dyDescent="0.2">
      <c r="A20" s="13" t="s">
        <v>279</v>
      </c>
      <c r="B20" s="22" t="s">
        <v>291</v>
      </c>
      <c r="C20" s="23" t="s">
        <v>536</v>
      </c>
      <c r="D20" s="73">
        <v>12273.636363636364</v>
      </c>
      <c r="E20" s="74" t="s">
        <v>526</v>
      </c>
      <c r="F20" s="24" t="s">
        <v>295</v>
      </c>
      <c r="G20" s="18">
        <v>2024</v>
      </c>
      <c r="H20" s="135">
        <f>D20/IF(E20="S",_xlfn.XLOOKUP($G20,Tables_for_Reference!$J$15:$J$21,Tables_for_Reference!$I$15:$I$21),IF(ESG!$E20="W",_xlfn.XLOOKUP(ESG!$G20,Tables_for_Reference!$J$15:$J$21,Tables_for_Reference!$H$15:$H$21),"Error"))</f>
        <v>0.90413919795858222</v>
      </c>
      <c r="I20" s="135">
        <f>$D20/IF($E20="S",_xlfn.XLOOKUP($G20,Tables_for_Reference!$J$24:$J$29,Tables_for_Reference!$I$24:$I$29),IF(ESG!E20="W",_xlfn.XLOOKUP(ESG!G20,Tables_for_Reference!$J$24:$J$29,Tables_for_Reference!$H$24:$H$29),"Error"))</f>
        <v>0.88484095923577666</v>
      </c>
    </row>
    <row r="21" spans="1:9" x14ac:dyDescent="0.2">
      <c r="A21" s="13" t="s">
        <v>279</v>
      </c>
      <c r="B21" s="22" t="s">
        <v>291</v>
      </c>
      <c r="C21" s="23" t="s">
        <v>536</v>
      </c>
      <c r="D21" s="73">
        <v>12301.363636363634</v>
      </c>
      <c r="E21" s="74" t="s">
        <v>526</v>
      </c>
      <c r="F21" s="24" t="s">
        <v>295</v>
      </c>
      <c r="G21" s="18">
        <v>2020</v>
      </c>
      <c r="H21" s="135">
        <f>D21/IF(E21="S",_xlfn.XLOOKUP($G21,Tables_for_Reference!$J$15:$J$21,Tables_for_Reference!$I$15:$I$21),IF(ESG!$E21="W",_xlfn.XLOOKUP(ESG!$G21,Tables_for_Reference!$J$15:$J$21,Tables_for_Reference!$H$15:$H$21),"Error"))</f>
        <v>0.6997840373838734</v>
      </c>
      <c r="I21" s="135">
        <f>$D21/IF($E21="S",_xlfn.XLOOKUP($G21,Tables_for_Reference!$J$24:$J$29,Tables_for_Reference!$I$24:$I$29),IF(ESG!E21="W",_xlfn.XLOOKUP(ESG!G21,Tables_for_Reference!$J$24:$J$29,Tables_for_Reference!$H$24:$H$29),"Error"))</f>
        <v>1.3598226497422852</v>
      </c>
    </row>
    <row r="22" spans="1:9" x14ac:dyDescent="0.2">
      <c r="A22" s="13" t="s">
        <v>279</v>
      </c>
      <c r="B22" s="14" t="s">
        <v>293</v>
      </c>
      <c r="C22" s="15" t="s">
        <v>548</v>
      </c>
      <c r="D22" s="73">
        <v>12604</v>
      </c>
      <c r="E22" s="74" t="s">
        <v>296</v>
      </c>
      <c r="F22" s="17" t="s">
        <v>295</v>
      </c>
      <c r="G22" s="18">
        <v>2023</v>
      </c>
      <c r="H22" s="135">
        <f>D22/IF(E22="S",_xlfn.XLOOKUP($G22,Tables_for_Reference!$J$15:$J$21,Tables_for_Reference!$I$15:$I$21),IF(ESG!$E22="W",_xlfn.XLOOKUP(ESG!$G22,Tables_for_Reference!$J$15:$J$21,Tables_for_Reference!$H$15:$H$21),"Error"))</f>
        <v>1.1181689141234918</v>
      </c>
      <c r="I22" s="135">
        <f>$D22/IF($E22="S",_xlfn.XLOOKUP($G22,Tables_for_Reference!$J$24:$J$29,Tables_for_Reference!$I$24:$I$29),IF(ESG!E22="W",_xlfn.XLOOKUP(ESG!G22,Tables_for_Reference!$J$24:$J$29,Tables_for_Reference!$H$24:$H$29),"Error"))</f>
        <v>1.3450866558524717</v>
      </c>
    </row>
    <row r="23" spans="1:9" x14ac:dyDescent="0.2">
      <c r="A23" s="13" t="s">
        <v>279</v>
      </c>
      <c r="B23" s="14" t="s">
        <v>293</v>
      </c>
      <c r="C23" s="15" t="s">
        <v>548</v>
      </c>
      <c r="D23" s="73">
        <v>12815</v>
      </c>
      <c r="E23" s="74" t="s">
        <v>296</v>
      </c>
      <c r="F23" s="17" t="s">
        <v>295</v>
      </c>
      <c r="G23" s="18">
        <v>2022</v>
      </c>
      <c r="H23" s="135">
        <f>D23/IF(E23="S",_xlfn.XLOOKUP($G23,Tables_for_Reference!$J$15:$J$21,Tables_for_Reference!$I$15:$I$21),IF(ESG!$E23="W",_xlfn.XLOOKUP(ESG!$G23,Tables_for_Reference!$J$15:$J$21,Tables_for_Reference!$H$15:$H$21),"Error"))</f>
        <v>1</v>
      </c>
      <c r="I23" s="135">
        <f>$D23/IF($E23="S",_xlfn.XLOOKUP($G23,Tables_for_Reference!$J$24:$J$29,Tables_for_Reference!$I$24:$I$29),IF(ESG!E23="W",_xlfn.XLOOKUP(ESG!G23,Tables_for_Reference!$J$24:$J$29,Tables_for_Reference!$H$24:$H$29),"Error"))</f>
        <v>1.4262659988870339</v>
      </c>
    </row>
    <row r="24" spans="1:9" x14ac:dyDescent="0.2">
      <c r="A24" s="13" t="s">
        <v>279</v>
      </c>
      <c r="B24" s="22" t="s">
        <v>291</v>
      </c>
      <c r="C24" s="23" t="s">
        <v>536</v>
      </c>
      <c r="D24" s="73">
        <v>12968.181818181816</v>
      </c>
      <c r="E24" s="74" t="s">
        <v>526</v>
      </c>
      <c r="F24" s="24" t="s">
        <v>295</v>
      </c>
      <c r="G24" s="18">
        <v>2019</v>
      </c>
      <c r="H24" s="135">
        <f>D24/IF(E24="S",_xlfn.XLOOKUP($G24,Tables_for_Reference!$J$15:$J$21,Tables_for_Reference!$I$15:$I$21),IF(ESG!$E24="W",_xlfn.XLOOKUP(ESG!$G24,Tables_for_Reference!$J$15:$J$21,Tables_for_Reference!$H$15:$H$21),"Error"))</f>
        <v>0.7090700321604142</v>
      </c>
      <c r="I24" s="135">
        <f>$D24/IF($E24="S",_xlfn.XLOOKUP($G24,Tables_for_Reference!$J$24:$J$29,Tables_for_Reference!$I$24:$I$29),IF(ESG!E24="W",_xlfn.XLOOKUP(ESG!G24,Tables_for_Reference!$J$24:$J$29,Tables_for_Reference!$H$24:$H$29),"Error"))</f>
        <v>1.3800636193365632</v>
      </c>
    </row>
    <row r="25" spans="1:9" x14ac:dyDescent="0.2">
      <c r="A25" s="13" t="s">
        <v>279</v>
      </c>
      <c r="B25" s="14" t="s">
        <v>293</v>
      </c>
      <c r="C25" s="15" t="s">
        <v>548</v>
      </c>
      <c r="D25" s="73">
        <v>13368</v>
      </c>
      <c r="E25" s="74" t="s">
        <v>296</v>
      </c>
      <c r="F25" s="17" t="s">
        <v>295</v>
      </c>
      <c r="G25" s="18">
        <v>2024</v>
      </c>
      <c r="H25" s="135">
        <f>D25/IF(E25="S",_xlfn.XLOOKUP($G25,Tables_for_Reference!$J$15:$J$21,Tables_for_Reference!$I$15:$I$21),IF(ESG!$E25="W",_xlfn.XLOOKUP(ESG!$G25,Tables_for_Reference!$J$15:$J$21,Tables_for_Reference!$H$15:$H$21),"Error"))</f>
        <v>1.7743423813824362</v>
      </c>
      <c r="I25" s="135">
        <f>$D25/IF($E25="S",_xlfn.XLOOKUP($G25,Tables_for_Reference!$J$24:$J$29,Tables_for_Reference!$I$24:$I$29),IF(ESG!E25="W",_xlfn.XLOOKUP(ESG!G25,Tables_for_Reference!$J$24:$J$29,Tables_for_Reference!$H$24:$H$29),"Error"))</f>
        <v>0.94406168844533167</v>
      </c>
    </row>
    <row r="26" spans="1:9" x14ac:dyDescent="0.2">
      <c r="A26" s="13" t="s">
        <v>279</v>
      </c>
      <c r="B26" s="22" t="s">
        <v>291</v>
      </c>
      <c r="C26" s="23" t="s">
        <v>536</v>
      </c>
      <c r="D26" s="73">
        <v>13513.181818181816</v>
      </c>
      <c r="E26" s="74" t="s">
        <v>526</v>
      </c>
      <c r="F26" s="24" t="s">
        <v>295</v>
      </c>
      <c r="G26" s="18">
        <v>2021</v>
      </c>
      <c r="H26" s="135">
        <f>D26/IF(E26="S",_xlfn.XLOOKUP($G26,Tables_for_Reference!$J$15:$J$21,Tables_for_Reference!$I$15:$I$21),IF(ESG!$E26="W",_xlfn.XLOOKUP(ESG!$G26,Tables_for_Reference!$J$15:$J$21,Tables_for_Reference!$H$15:$H$21),"Error"))</f>
        <v>0.72085296772031604</v>
      </c>
      <c r="I26" s="135">
        <f>$D26/IF($E26="S",_xlfn.XLOOKUP($G26,Tables_for_Reference!$J$24:$J$29,Tables_for_Reference!$I$24:$I$29),IF(ESG!E26="W",_xlfn.XLOOKUP(ESG!G26,Tables_for_Reference!$J$24:$J$29,Tables_for_Reference!$H$24:$H$29),"Error"))</f>
        <v>1.0233382671852946</v>
      </c>
    </row>
    <row r="27" spans="1:9" x14ac:dyDescent="0.2">
      <c r="A27" s="13" t="s">
        <v>279</v>
      </c>
      <c r="B27" s="22" t="s">
        <v>291</v>
      </c>
      <c r="C27" s="23" t="s">
        <v>536</v>
      </c>
      <c r="D27" s="73">
        <v>13523.181818181816</v>
      </c>
      <c r="E27" s="74" t="s">
        <v>526</v>
      </c>
      <c r="F27" s="24" t="s">
        <v>295</v>
      </c>
      <c r="G27" s="18">
        <v>2023</v>
      </c>
      <c r="H27" s="135">
        <f>D27/IF(E27="S",_xlfn.XLOOKUP($G27,Tables_for_Reference!$J$15:$J$21,Tables_for_Reference!$I$15:$I$21),IF(ESG!$E27="W",_xlfn.XLOOKUP(ESG!$G27,Tables_for_Reference!$J$15:$J$21,Tables_for_Reference!$H$15:$H$21),"Error"))</f>
        <v>0.66583859272190138</v>
      </c>
      <c r="I27" s="135">
        <f>$D27/IF($E27="S",_xlfn.XLOOKUP($G27,Tables_for_Reference!$J$24:$J$29,Tables_for_Reference!$I$24:$I$29),IF(ESG!E27="W",_xlfn.XLOOKUP(ESG!G27,Tables_for_Reference!$J$24:$J$29,Tables_for_Reference!$H$24:$H$29),"Error"))</f>
        <v>1.4732579248708277</v>
      </c>
    </row>
    <row r="28" spans="1:9" x14ac:dyDescent="0.2">
      <c r="A28" s="13" t="s">
        <v>279</v>
      </c>
      <c r="B28" s="14" t="s">
        <v>293</v>
      </c>
      <c r="C28" s="15" t="s">
        <v>542</v>
      </c>
      <c r="D28" s="73">
        <v>13604</v>
      </c>
      <c r="E28" s="74" t="s">
        <v>296</v>
      </c>
      <c r="F28" s="17" t="s">
        <v>295</v>
      </c>
      <c r="G28" s="18">
        <v>2019</v>
      </c>
      <c r="H28" s="135">
        <f>D28/IF(E28="S",_xlfn.XLOOKUP($G28,Tables_for_Reference!$J$15:$J$21,Tables_for_Reference!$I$15:$I$21),IF(ESG!$E28="W",_xlfn.XLOOKUP(ESG!$G28,Tables_for_Reference!$J$15:$J$21,Tables_for_Reference!$H$15:$H$21),"Error"))</f>
        <v>1.5035366931918657</v>
      </c>
      <c r="I28" s="135">
        <f>$D28/IF($E28="S",_xlfn.XLOOKUP($G28,Tables_for_Reference!$J$24:$J$29,Tables_for_Reference!$I$24:$I$29),IF(ESG!E28="W",_xlfn.XLOOKUP(ESG!G28,Tables_for_Reference!$J$24:$J$29,Tables_for_Reference!$H$24:$H$29),"Error"))</f>
        <v>1.658094239816688</v>
      </c>
    </row>
    <row r="29" spans="1:9" x14ac:dyDescent="0.2">
      <c r="A29" s="13" t="s">
        <v>279</v>
      </c>
      <c r="B29" s="14" t="s">
        <v>293</v>
      </c>
      <c r="C29" s="15" t="s">
        <v>542</v>
      </c>
      <c r="D29" s="73">
        <v>14129</v>
      </c>
      <c r="E29" s="74" t="s">
        <v>296</v>
      </c>
      <c r="F29" s="17" t="s">
        <v>295</v>
      </c>
      <c r="G29" s="18">
        <v>2021</v>
      </c>
      <c r="H29" s="135">
        <f>D29/IF(E29="S",_xlfn.XLOOKUP($G29,Tables_for_Reference!$J$15:$J$21,Tables_for_Reference!$I$15:$I$21),IF(ESG!$E29="W",_xlfn.XLOOKUP(ESG!$G29,Tables_for_Reference!$J$15:$J$21,Tables_for_Reference!$H$15:$H$21),"Error"))</f>
        <v>1.3979420203819135</v>
      </c>
      <c r="I29" s="135">
        <f>$D29/IF($E29="S",_xlfn.XLOOKUP($G29,Tables_for_Reference!$J$24:$J$29,Tables_for_Reference!$I$24:$I$29),IF(ESG!E29="W",_xlfn.XLOOKUP(ESG!G29,Tables_for_Reference!$J$24:$J$29,Tables_for_Reference!$H$24:$H$29),"Error"))</f>
        <v>1.1309985991594957</v>
      </c>
    </row>
    <row r="30" spans="1:9" x14ac:dyDescent="0.2">
      <c r="A30" s="13" t="s">
        <v>279</v>
      </c>
      <c r="B30" s="22" t="s">
        <v>291</v>
      </c>
      <c r="C30" s="23" t="s">
        <v>535</v>
      </c>
      <c r="D30" s="73">
        <v>14297</v>
      </c>
      <c r="E30" s="74" t="s">
        <v>296</v>
      </c>
      <c r="F30" s="24" t="s">
        <v>295</v>
      </c>
      <c r="G30" s="18">
        <v>2022</v>
      </c>
      <c r="H30" s="135">
        <f>D30/IF(E30="S",_xlfn.XLOOKUP($G30,Tables_for_Reference!$J$15:$J$21,Tables_for_Reference!$I$15:$I$21),IF(ESG!$E30="W",_xlfn.XLOOKUP(ESG!$G30,Tables_for_Reference!$J$15:$J$21,Tables_for_Reference!$H$15:$H$21),"Error"))</f>
        <v>1.115645727662895</v>
      </c>
      <c r="I30" s="135">
        <f>$D30/IF($E30="S",_xlfn.XLOOKUP($G30,Tables_for_Reference!$J$24:$J$29,Tables_for_Reference!$I$24:$I$29),IF(ESG!E30="W",_xlfn.XLOOKUP(ESG!G30,Tables_for_Reference!$J$24:$J$29,Tables_for_Reference!$H$24:$H$29),"Error"))</f>
        <v>1.5912075681691709</v>
      </c>
    </row>
    <row r="31" spans="1:9" x14ac:dyDescent="0.2">
      <c r="A31" s="13" t="s">
        <v>279</v>
      </c>
      <c r="B31" s="14" t="s">
        <v>293</v>
      </c>
      <c r="C31" s="15" t="s">
        <v>542</v>
      </c>
      <c r="D31" s="73">
        <v>14566</v>
      </c>
      <c r="E31" s="74" t="s">
        <v>296</v>
      </c>
      <c r="F31" s="17" t="s">
        <v>295</v>
      </c>
      <c r="G31" s="18">
        <v>2022</v>
      </c>
      <c r="H31" s="135">
        <f>D31/IF(E31="S",_xlfn.XLOOKUP($G31,Tables_for_Reference!$J$15:$J$21,Tables_for_Reference!$I$15:$I$21),IF(ESG!$E31="W",_xlfn.XLOOKUP(ESG!$G31,Tables_for_Reference!$J$15:$J$21,Tables_for_Reference!$H$15:$H$21),"Error"))</f>
        <v>1.1366367538041358</v>
      </c>
      <c r="I31" s="135">
        <f>$D31/IF($E31="S",_xlfn.XLOOKUP($G31,Tables_for_Reference!$J$24:$J$29,Tables_for_Reference!$I$24:$I$29),IF(ESG!E31="W",_xlfn.XLOOKUP(ESG!G31,Tables_for_Reference!$J$24:$J$29,Tables_for_Reference!$H$24:$H$29),"Error"))</f>
        <v>1.6211463550361713</v>
      </c>
    </row>
    <row r="32" spans="1:9" x14ac:dyDescent="0.2">
      <c r="A32" s="13" t="s">
        <v>279</v>
      </c>
      <c r="B32" s="22" t="s">
        <v>291</v>
      </c>
      <c r="C32" s="23" t="s">
        <v>535</v>
      </c>
      <c r="D32" s="73">
        <v>14644</v>
      </c>
      <c r="E32" s="74" t="s">
        <v>296</v>
      </c>
      <c r="F32" s="24" t="s">
        <v>295</v>
      </c>
      <c r="G32" s="18">
        <v>2023</v>
      </c>
      <c r="H32" s="135">
        <f>D32/IF(E32="S",_xlfn.XLOOKUP($G32,Tables_for_Reference!$J$15:$J$21,Tables_for_Reference!$I$15:$I$21),IF(ESG!$E32="W",_xlfn.XLOOKUP(ESG!$G32,Tables_for_Reference!$J$15:$J$21,Tables_for_Reference!$H$15:$H$21),"Error"))</f>
        <v>1.2991483321504613</v>
      </c>
      <c r="I32" s="135">
        <f>$D32/IF($E32="S",_xlfn.XLOOKUP($G32,Tables_for_Reference!$J$24:$J$29,Tables_for_Reference!$I$24:$I$29),IF(ESG!E32="W",_xlfn.XLOOKUP(ESG!G32,Tables_for_Reference!$J$24:$J$29,Tables_for_Reference!$H$24:$H$29),"Error"))</f>
        <v>1.562793477332878</v>
      </c>
    </row>
    <row r="33" spans="1:9" x14ac:dyDescent="0.2">
      <c r="A33" s="13" t="s">
        <v>279</v>
      </c>
      <c r="B33" s="22" t="s">
        <v>291</v>
      </c>
      <c r="C33" s="23" t="s">
        <v>536</v>
      </c>
      <c r="D33" s="73">
        <v>14795.454545454544</v>
      </c>
      <c r="E33" s="74" t="s">
        <v>526</v>
      </c>
      <c r="F33" s="24" t="s">
        <v>295</v>
      </c>
      <c r="G33" s="18">
        <v>2022</v>
      </c>
      <c r="H33" s="135">
        <f>D33/IF(E33="S",_xlfn.XLOOKUP($G33,Tables_for_Reference!$J$15:$J$21,Tables_for_Reference!$I$15:$I$21),IF(ESG!$E33="W",_xlfn.XLOOKUP(ESG!$G33,Tables_for_Reference!$J$15:$J$21,Tables_for_Reference!$H$15:$H$21),"Error"))</f>
        <v>0.69604377698372466</v>
      </c>
      <c r="I33" s="135">
        <f>$D33/IF($E33="S",_xlfn.XLOOKUP($G33,Tables_for_Reference!$J$24:$J$29,Tables_for_Reference!$I$24:$I$29),IF(ESG!E33="W",_xlfn.XLOOKUP(ESG!G33,Tables_for_Reference!$J$24:$J$29,Tables_for_Reference!$H$24:$H$29),"Error"))</f>
        <v>1.8827566101820403</v>
      </c>
    </row>
    <row r="34" spans="1:9" x14ac:dyDescent="0.2">
      <c r="A34" s="13" t="s">
        <v>279</v>
      </c>
      <c r="B34" s="22" t="s">
        <v>291</v>
      </c>
      <c r="C34" s="23" t="s">
        <v>535</v>
      </c>
      <c r="D34" s="73">
        <v>14849</v>
      </c>
      <c r="E34" s="74" t="s">
        <v>296</v>
      </c>
      <c r="F34" s="24" t="s">
        <v>295</v>
      </c>
      <c r="G34" s="18">
        <v>2021</v>
      </c>
      <c r="H34" s="135">
        <f>D34/IF(E34="S",_xlfn.XLOOKUP($G34,Tables_for_Reference!$J$15:$J$21,Tables_for_Reference!$I$15:$I$21),IF(ESG!$E34="W",_xlfn.XLOOKUP(ESG!$G34,Tables_for_Reference!$J$15:$J$21,Tables_for_Reference!$H$15:$H$21),"Error"))</f>
        <v>1.4691797763925991</v>
      </c>
      <c r="I34" s="135">
        <f>$D34/IF($E34="S",_xlfn.XLOOKUP($G34,Tables_for_Reference!$J$24:$J$29,Tables_for_Reference!$I$24:$I$29),IF(ESG!E34="W",_xlfn.XLOOKUP(ESG!G34,Tables_for_Reference!$J$24:$J$29,Tables_for_Reference!$H$24:$H$29),"Error"))</f>
        <v>1.1886331799079448</v>
      </c>
    </row>
    <row r="35" spans="1:9" x14ac:dyDescent="0.2">
      <c r="A35" s="13" t="s">
        <v>279</v>
      </c>
      <c r="B35" s="22" t="s">
        <v>291</v>
      </c>
      <c r="C35" s="23" t="s">
        <v>535</v>
      </c>
      <c r="D35" s="73">
        <v>15399</v>
      </c>
      <c r="E35" s="74" t="s">
        <v>296</v>
      </c>
      <c r="F35" s="24" t="s">
        <v>295</v>
      </c>
      <c r="G35" s="18">
        <v>2020</v>
      </c>
      <c r="H35" s="135">
        <f>D35/IF(E35="S",_xlfn.XLOOKUP($G35,Tables_for_Reference!$J$15:$J$21,Tables_for_Reference!$I$15:$I$21),IF(ESG!$E35="W",_xlfn.XLOOKUP(ESG!$G35,Tables_for_Reference!$J$15:$J$21,Tables_for_Reference!$H$15:$H$21),"Error"))</f>
        <v>1.8052754982415007</v>
      </c>
      <c r="I35" s="135">
        <f>$D35/IF($E35="S",_xlfn.XLOOKUP($G35,Tables_for_Reference!$J$24:$J$29,Tables_for_Reference!$I$24:$I$29),IF(ESG!E35="W",_xlfn.XLOOKUP(ESG!G35,Tables_for_Reference!$J$24:$J$29,Tables_for_Reference!$H$24:$H$29),"Error"))</f>
        <v>1.5557374068012364</v>
      </c>
    </row>
    <row r="36" spans="1:9" x14ac:dyDescent="0.2">
      <c r="A36" s="13" t="s">
        <v>279</v>
      </c>
      <c r="B36" s="14" t="s">
        <v>293</v>
      </c>
      <c r="C36" s="15" t="s">
        <v>542</v>
      </c>
      <c r="D36" s="73">
        <v>17336</v>
      </c>
      <c r="E36" s="74" t="s">
        <v>296</v>
      </c>
      <c r="F36" s="17" t="s">
        <v>295</v>
      </c>
      <c r="G36" s="18">
        <v>2023</v>
      </c>
      <c r="H36" s="135">
        <f>D36/IF(E36="S",_xlfn.XLOOKUP($G36,Tables_for_Reference!$J$15:$J$21,Tables_for_Reference!$I$15:$I$21),IF(ESG!$E36="W",_xlfn.XLOOKUP(ESG!$G36,Tables_for_Reference!$J$15:$J$21,Tables_for_Reference!$H$15:$H$21),"Error"))</f>
        <v>1.5379701916252662</v>
      </c>
      <c r="I36" s="135">
        <f>$D36/IF($E36="S",_xlfn.XLOOKUP($G36,Tables_for_Reference!$J$24:$J$29,Tables_for_Reference!$I$24:$I$29),IF(ESG!E36="W",_xlfn.XLOOKUP(ESG!G36,Tables_for_Reference!$J$24:$J$29,Tables_for_Reference!$H$24:$H$29),"Error"))</f>
        <v>1.8500811064629046</v>
      </c>
    </row>
    <row r="37" spans="1:9" x14ac:dyDescent="0.2">
      <c r="A37" s="13" t="s">
        <v>279</v>
      </c>
      <c r="B37" s="22" t="s">
        <v>291</v>
      </c>
      <c r="C37" s="23" t="s">
        <v>535</v>
      </c>
      <c r="D37" s="73">
        <v>17449</v>
      </c>
      <c r="E37" s="74" t="s">
        <v>296</v>
      </c>
      <c r="F37" s="24" t="s">
        <v>295</v>
      </c>
      <c r="G37" s="18">
        <v>2019</v>
      </c>
      <c r="H37" s="135">
        <f>D37/IF(E37="S",_xlfn.XLOOKUP($G37,Tables_for_Reference!$J$15:$J$21,Tables_for_Reference!$I$15:$I$21),IF(ESG!$E37="W",_xlfn.XLOOKUP(ESG!$G37,Tables_for_Reference!$J$15:$J$21,Tables_for_Reference!$H$15:$H$21),"Error"))</f>
        <v>1.9284924845269673</v>
      </c>
      <c r="I37" s="135">
        <f>$D37/IF($E37="S",_xlfn.XLOOKUP($G37,Tables_for_Reference!$J$24:$J$29,Tables_for_Reference!$I$24:$I$29),IF(ESG!E37="W",_xlfn.XLOOKUP(ESG!G37,Tables_for_Reference!$J$24:$J$29,Tables_for_Reference!$H$24:$H$29),"Error"))</f>
        <v>2.1267337834873117</v>
      </c>
    </row>
    <row r="38" spans="1:9" x14ac:dyDescent="0.2">
      <c r="A38" s="13" t="s">
        <v>279</v>
      </c>
      <c r="B38" s="22" t="s">
        <v>280</v>
      </c>
      <c r="C38" s="23" t="s">
        <v>544</v>
      </c>
      <c r="D38" s="73">
        <v>19952</v>
      </c>
      <c r="E38" s="74" t="s">
        <v>526</v>
      </c>
      <c r="F38" s="24" t="s">
        <v>281</v>
      </c>
      <c r="G38" s="18">
        <v>2019</v>
      </c>
      <c r="H38" s="135">
        <f>D38/IF(E38="S",_xlfn.XLOOKUP($G38,Tables_for_Reference!$J$15:$J$21,Tables_for_Reference!$I$15:$I$21),IF(ESG!$E38="W",_xlfn.XLOOKUP(ESG!$G38,Tables_for_Reference!$J$15:$J$21,Tables_for_Reference!$H$15:$H$21),"Error"))</f>
        <v>1.0909289737000383</v>
      </c>
      <c r="I38" s="135">
        <f>$D38/IF($E38="S",_xlfn.XLOOKUP($G38,Tables_for_Reference!$J$24:$J$29,Tables_for_Reference!$I$24:$I$29),IF(ESG!E38="W",_xlfn.XLOOKUP(ESG!G38,Tables_for_Reference!$J$24:$J$29,Tables_for_Reference!$H$24:$H$29),"Error"))</f>
        <v>2.1232760088540781</v>
      </c>
    </row>
    <row r="39" spans="1:9" ht="26" x14ac:dyDescent="0.2">
      <c r="A39" s="13" t="s">
        <v>279</v>
      </c>
      <c r="B39" s="22" t="s">
        <v>288</v>
      </c>
      <c r="C39" s="23" t="s">
        <v>543</v>
      </c>
      <c r="D39" s="73">
        <v>21571.944444444445</v>
      </c>
      <c r="E39" s="74" t="s">
        <v>296</v>
      </c>
      <c r="F39" s="24" t="s">
        <v>290</v>
      </c>
      <c r="G39" s="18">
        <v>2023</v>
      </c>
      <c r="H39" s="135">
        <f>D39/IF(E39="S",_xlfn.XLOOKUP($G39,Tables_for_Reference!$J$15:$J$21,Tables_for_Reference!$I$15:$I$21),IF(ESG!$E39="W",_xlfn.XLOOKUP(ESG!$G39,Tables_for_Reference!$J$15:$J$21,Tables_for_Reference!$H$15:$H$21),"Error"))</f>
        <v>1.9137637016008202</v>
      </c>
      <c r="I39" s="135">
        <f>$D39/IF($E39="S",_xlfn.XLOOKUP($G39,Tables_for_Reference!$J$24:$J$29,Tables_for_Reference!$I$24:$I$29),IF(ESG!E39="W",_xlfn.XLOOKUP(ESG!G39,Tables_for_Reference!$J$24:$J$29,Tables_for_Reference!$H$24:$H$29),"Error"))</f>
        <v>2.3021369892901524</v>
      </c>
    </row>
    <row r="40" spans="1:9" ht="26" x14ac:dyDescent="0.2">
      <c r="A40" s="13" t="s">
        <v>279</v>
      </c>
      <c r="B40" s="22" t="s">
        <v>288</v>
      </c>
      <c r="C40" s="23" t="s">
        <v>543</v>
      </c>
      <c r="D40" s="73">
        <v>21626.111111111109</v>
      </c>
      <c r="E40" s="74" t="s">
        <v>296</v>
      </c>
      <c r="F40" s="24" t="s">
        <v>290</v>
      </c>
      <c r="G40" s="18">
        <v>2019</v>
      </c>
      <c r="H40" s="135">
        <f>D40/IF(E40="S",_xlfn.XLOOKUP($G40,Tables_for_Reference!$J$15:$J$21,Tables_for_Reference!$I$15:$I$21),IF(ESG!$E40="W",_xlfn.XLOOKUP(ESG!$G40,Tables_for_Reference!$J$15:$J$21,Tables_for_Reference!$H$15:$H$21),"Error"))</f>
        <v>2.3901537479123682</v>
      </c>
      <c r="I40" s="135">
        <f>$D40/IF($E40="S",_xlfn.XLOOKUP($G40,Tables_for_Reference!$J$24:$J$29,Tables_for_Reference!$I$24:$I$29),IF(ESG!E40="W",_xlfn.XLOOKUP(ESG!G40,Tables_for_Reference!$J$24:$J$29,Tables_for_Reference!$H$24:$H$29),"Error"))</f>
        <v>2.6358519746375335</v>
      </c>
    </row>
    <row r="41" spans="1:9" ht="26" x14ac:dyDescent="0.2">
      <c r="A41" s="13" t="s">
        <v>279</v>
      </c>
      <c r="B41" s="22" t="s">
        <v>288</v>
      </c>
      <c r="C41" s="23" t="s">
        <v>543</v>
      </c>
      <c r="D41" s="73">
        <v>21673.055555555555</v>
      </c>
      <c r="E41" s="74" t="s">
        <v>296</v>
      </c>
      <c r="F41" s="24" t="s">
        <v>290</v>
      </c>
      <c r="G41" s="18">
        <v>2020</v>
      </c>
      <c r="H41" s="135">
        <f>D41/IF(E41="S",_xlfn.XLOOKUP($G41,Tables_for_Reference!$J$15:$J$21,Tables_for_Reference!$I$15:$I$21),IF(ESG!$E41="W",_xlfn.XLOOKUP(ESG!$G41,Tables_for_Reference!$J$15:$J$21,Tables_for_Reference!$H$15:$H$21),"Error"))</f>
        <v>2.5408036993617298</v>
      </c>
      <c r="I41" s="135">
        <f>$D41/IF($E41="S",_xlfn.XLOOKUP($G41,Tables_for_Reference!$J$24:$J$29,Tables_for_Reference!$I$24:$I$29),IF(ESG!E41="W",_xlfn.XLOOKUP(ESG!G41,Tables_for_Reference!$J$24:$J$29,Tables_for_Reference!$H$24:$H$29),"Error"))</f>
        <v>2.1895956391622269</v>
      </c>
    </row>
    <row r="42" spans="1:9" ht="26" x14ac:dyDescent="0.2">
      <c r="A42" s="13" t="s">
        <v>279</v>
      </c>
      <c r="B42" s="22" t="s">
        <v>288</v>
      </c>
      <c r="C42" s="23" t="s">
        <v>543</v>
      </c>
      <c r="D42" s="73">
        <v>21725</v>
      </c>
      <c r="E42" s="74" t="s">
        <v>296</v>
      </c>
      <c r="F42" s="24" t="s">
        <v>290</v>
      </c>
      <c r="G42" s="18">
        <v>2021</v>
      </c>
      <c r="H42" s="135">
        <f>D42/IF(E42="S",_xlfn.XLOOKUP($G42,Tables_for_Reference!$J$15:$J$21,Tables_for_Reference!$I$15:$I$21),IF(ESG!$E42="W",_xlfn.XLOOKUP(ESG!$G42,Tables_for_Reference!$J$15:$J$21,Tables_for_Reference!$H$15:$H$21),"Error"))</f>
        <v>2.1495003462946474</v>
      </c>
      <c r="I42" s="135">
        <f>$D42/IF($E42="S",_xlfn.XLOOKUP($G42,Tables_for_Reference!$J$24:$J$29,Tables_for_Reference!$I$24:$I$29),IF(ESG!E42="W",_xlfn.XLOOKUP(ESG!G42,Tables_for_Reference!$J$24:$J$29,Tables_for_Reference!$H$24:$H$29),"Error"))</f>
        <v>1.7390434260556333</v>
      </c>
    </row>
    <row r="43" spans="1:9" ht="26" x14ac:dyDescent="0.2">
      <c r="A43" s="13" t="s">
        <v>279</v>
      </c>
      <c r="B43" s="22" t="s">
        <v>288</v>
      </c>
      <c r="C43" s="23" t="s">
        <v>543</v>
      </c>
      <c r="D43" s="73">
        <v>21862.5</v>
      </c>
      <c r="E43" s="74" t="s">
        <v>296</v>
      </c>
      <c r="F43" s="24" t="s">
        <v>290</v>
      </c>
      <c r="G43" s="18">
        <v>2024</v>
      </c>
      <c r="H43" s="135">
        <f>D43/IF(E43="S",_xlfn.XLOOKUP($G43,Tables_for_Reference!$J$15:$J$21,Tables_for_Reference!$I$15:$I$21),IF(ESG!$E43="W",_xlfn.XLOOKUP(ESG!$G43,Tables_for_Reference!$J$15:$J$21,Tables_for_Reference!$H$15:$H$21),"Error"))</f>
        <v>2.9018222855306339</v>
      </c>
      <c r="I43" s="135">
        <f>$D43/IF($E43="S",_xlfn.XLOOKUP($G43,Tables_for_Reference!$J$24:$J$29,Tables_for_Reference!$I$24:$I$29),IF(ESG!E43="W",_xlfn.XLOOKUP(ESG!G43,Tables_for_Reference!$J$24:$J$29,Tables_for_Reference!$H$24:$H$29),"Error"))</f>
        <v>1.5439518748979701</v>
      </c>
    </row>
    <row r="44" spans="1:9" ht="26" x14ac:dyDescent="0.2">
      <c r="A44" s="13" t="s">
        <v>279</v>
      </c>
      <c r="B44" s="22" t="s">
        <v>288</v>
      </c>
      <c r="C44" s="23" t="s">
        <v>543</v>
      </c>
      <c r="D44" s="73">
        <v>22163.055555555555</v>
      </c>
      <c r="E44" s="74" t="s">
        <v>296</v>
      </c>
      <c r="F44" s="24" t="s">
        <v>290</v>
      </c>
      <c r="G44" s="18">
        <v>2022</v>
      </c>
      <c r="H44" s="135">
        <f>D44/IF(E44="S",_xlfn.XLOOKUP($G44,Tables_for_Reference!$J$15:$J$21,Tables_for_Reference!$I$15:$I$21),IF(ESG!$E44="W",_xlfn.XLOOKUP(ESG!$G44,Tables_for_Reference!$J$15:$J$21,Tables_for_Reference!$H$15:$H$21),"Error"))</f>
        <v>1.7294620019941909</v>
      </c>
      <c r="I44" s="135">
        <f>$D44/IF($E44="S",_xlfn.XLOOKUP($G44,Tables_for_Reference!$J$24:$J$29,Tables_for_Reference!$I$24:$I$29),IF(ESG!E44="W",_xlfn.XLOOKUP(ESG!G44,Tables_for_Reference!$J$24:$J$29,Tables_for_Reference!$H$24:$H$29),"Error"))</f>
        <v>2.4666728498114141</v>
      </c>
    </row>
    <row r="45" spans="1:9" x14ac:dyDescent="0.2">
      <c r="A45" s="13" t="s">
        <v>279</v>
      </c>
      <c r="B45" s="14" t="s">
        <v>293</v>
      </c>
      <c r="C45" s="15" t="s">
        <v>542</v>
      </c>
      <c r="D45" s="73">
        <v>23786</v>
      </c>
      <c r="E45" s="74" t="s">
        <v>296</v>
      </c>
      <c r="F45" s="17" t="s">
        <v>295</v>
      </c>
      <c r="G45" s="18">
        <v>2024</v>
      </c>
      <c r="H45" s="135">
        <f>D45/IF(E45="S",_xlfn.XLOOKUP($G45,Tables_for_Reference!$J$15:$J$21,Tables_for_Reference!$I$15:$I$21),IF(ESG!$E45="W",_xlfn.XLOOKUP(ESG!$G45,Tables_for_Reference!$J$15:$J$21,Tables_for_Reference!$H$15:$H$21),"Error"))</f>
        <v>3.1571295544256905</v>
      </c>
      <c r="I45" s="135">
        <f>$D45/IF($E45="S",_xlfn.XLOOKUP($G45,Tables_for_Reference!$J$24:$J$29,Tables_for_Reference!$I$24:$I$29),IF(ESG!E45="W",_xlfn.XLOOKUP(ESG!G45,Tables_for_Reference!$J$24:$J$29,Tables_for_Reference!$H$24:$H$29),"Error"))</f>
        <v>1.6797913914841907</v>
      </c>
    </row>
    <row r="46" spans="1:9" ht="26" x14ac:dyDescent="0.2">
      <c r="A46" s="13" t="s">
        <v>279</v>
      </c>
      <c r="B46" s="22" t="s">
        <v>288</v>
      </c>
      <c r="C46" s="23" t="s">
        <v>543</v>
      </c>
      <c r="D46" s="73">
        <v>30593.694327000001</v>
      </c>
      <c r="E46" s="74" t="s">
        <v>526</v>
      </c>
      <c r="F46" s="24" t="s">
        <v>290</v>
      </c>
      <c r="G46" s="18">
        <v>2024</v>
      </c>
      <c r="H46" s="135">
        <f>D46/IF(E46="S",_xlfn.XLOOKUP($G46,Tables_for_Reference!$J$15:$J$21,Tables_for_Reference!$I$15:$I$21),IF(ESG!$E46="W",_xlfn.XLOOKUP(ESG!$G46,Tables_for_Reference!$J$15:$J$21,Tables_for_Reference!$H$15:$H$21),"Error"))</f>
        <v>2.2536889176019694</v>
      </c>
      <c r="I46" s="135">
        <f>$D46/IF($E46="S",_xlfn.XLOOKUP($G46,Tables_for_Reference!$J$24:$J$29,Tables_for_Reference!$I$24:$I$29),IF(ESG!E46="W",_xlfn.XLOOKUP(ESG!G46,Tables_for_Reference!$J$24:$J$29,Tables_for_Reference!$H$24:$H$29),"Error"))</f>
        <v>2.2055854542889937</v>
      </c>
    </row>
    <row r="47" spans="1:9" ht="26" x14ac:dyDescent="0.2">
      <c r="A47" s="13" t="s">
        <v>279</v>
      </c>
      <c r="B47" s="22" t="s">
        <v>288</v>
      </c>
      <c r="C47" s="23" t="s">
        <v>543</v>
      </c>
      <c r="D47" s="73">
        <v>31001.889914000003</v>
      </c>
      <c r="E47" s="74" t="s">
        <v>526</v>
      </c>
      <c r="F47" s="24" t="s">
        <v>290</v>
      </c>
      <c r="G47" s="18">
        <v>2020</v>
      </c>
      <c r="H47" s="135">
        <f>D47/IF(E47="S",_xlfn.XLOOKUP($G47,Tables_for_Reference!$J$15:$J$21,Tables_for_Reference!$I$15:$I$21),IF(ESG!$E47="W",_xlfn.XLOOKUP(ESG!$G47,Tables_for_Reference!$J$15:$J$21,Tables_for_Reference!$H$15:$H$21),"Error"))</f>
        <v>1.7635953486017251</v>
      </c>
      <c r="I47" s="135">
        <f>$D47/IF($E47="S",_xlfn.XLOOKUP($G47,Tables_for_Reference!$J$24:$J$29,Tables_for_Reference!$I$24:$I$29),IF(ESG!E47="W",_xlfn.XLOOKUP(ESG!G47,Tables_for_Reference!$J$24:$J$29,Tables_for_Reference!$H$24:$H$29),"Error"))</f>
        <v>3.4270242987740849</v>
      </c>
    </row>
    <row r="48" spans="1:9" ht="26" x14ac:dyDescent="0.2">
      <c r="A48" s="13" t="s">
        <v>279</v>
      </c>
      <c r="B48" s="22" t="s">
        <v>288</v>
      </c>
      <c r="C48" s="23" t="s">
        <v>543</v>
      </c>
      <c r="D48" s="73">
        <v>31799.931963000003</v>
      </c>
      <c r="E48" s="74" t="s">
        <v>526</v>
      </c>
      <c r="F48" s="24" t="s">
        <v>290</v>
      </c>
      <c r="G48" s="18">
        <v>2023</v>
      </c>
      <c r="H48" s="135">
        <f>D48/IF(E48="S",_xlfn.XLOOKUP($G48,Tables_for_Reference!$J$15:$J$21,Tables_for_Reference!$I$15:$I$21),IF(ESG!$E48="W",_xlfn.XLOOKUP(ESG!$G48,Tables_for_Reference!$J$15:$J$21,Tables_for_Reference!$H$15:$H$21),"Error"))</f>
        <v>1.5657278169867062</v>
      </c>
      <c r="I48" s="135">
        <f>$D48/IF($E48="S",_xlfn.XLOOKUP($G48,Tables_for_Reference!$J$24:$J$29,Tables_for_Reference!$I$24:$I$29),IF(ESG!E48="W",_xlfn.XLOOKUP(ESG!G48,Tables_for_Reference!$J$24:$J$29,Tables_for_Reference!$H$24:$H$29),"Error"))</f>
        <v>3.4643845216851328</v>
      </c>
    </row>
    <row r="49" spans="1:9" ht="26" x14ac:dyDescent="0.2">
      <c r="A49" s="13" t="s">
        <v>279</v>
      </c>
      <c r="B49" s="22" t="s">
        <v>288</v>
      </c>
      <c r="C49" s="23" t="s">
        <v>543</v>
      </c>
      <c r="D49" s="73">
        <v>32025.737980000002</v>
      </c>
      <c r="E49" s="74" t="s">
        <v>526</v>
      </c>
      <c r="F49" s="24" t="s">
        <v>290</v>
      </c>
      <c r="G49" s="18">
        <v>2019</v>
      </c>
      <c r="H49" s="135">
        <f>D49/IF(E49="S",_xlfn.XLOOKUP($G49,Tables_for_Reference!$J$15:$J$21,Tables_for_Reference!$I$15:$I$21),IF(ESG!$E49="W",_xlfn.XLOOKUP(ESG!$G49,Tables_for_Reference!$J$15:$J$21,Tables_for_Reference!$H$15:$H$21),"Error"))</f>
        <v>1.7510928962764505</v>
      </c>
      <c r="I49" s="135">
        <f>$D49/IF($E49="S",_xlfn.XLOOKUP($G49,Tables_for_Reference!$J$24:$J$29,Tables_for_Reference!$I$24:$I$29),IF(ESG!E49="W",_xlfn.XLOOKUP(ESG!G49,Tables_for_Reference!$J$24:$J$29,Tables_for_Reference!$H$24:$H$29),"Error"))</f>
        <v>3.4081536246381749</v>
      </c>
    </row>
    <row r="50" spans="1:9" ht="26" x14ac:dyDescent="0.2">
      <c r="A50" s="13" t="s">
        <v>279</v>
      </c>
      <c r="B50" s="22" t="s">
        <v>288</v>
      </c>
      <c r="C50" s="23" t="s">
        <v>543</v>
      </c>
      <c r="D50" s="73">
        <v>33329.597063000001</v>
      </c>
      <c r="E50" s="74" t="s">
        <v>526</v>
      </c>
      <c r="F50" s="24" t="s">
        <v>290</v>
      </c>
      <c r="G50" s="18">
        <v>2022</v>
      </c>
      <c r="H50" s="135">
        <f>D50/IF(E50="S",_xlfn.XLOOKUP($G50,Tables_for_Reference!$J$15:$J$21,Tables_for_Reference!$I$15:$I$21),IF(ESG!$E50="W",_xlfn.XLOOKUP(ESG!$G50,Tables_for_Reference!$J$15:$J$21,Tables_for_Reference!$H$15:$H$21),"Error"))</f>
        <v>1.5679720115258862</v>
      </c>
      <c r="I50" s="135">
        <f>$D50/IF($E50="S",_xlfn.XLOOKUP($G50,Tables_for_Reference!$J$24:$J$29,Tables_for_Reference!$I$24:$I$29),IF(ESG!E50="W",_xlfn.XLOOKUP(ESG!G50,Tables_for_Reference!$J$24:$J$29,Tables_for_Reference!$H$24:$H$29),"Error"))</f>
        <v>4.2412701138908684</v>
      </c>
    </row>
    <row r="51" spans="1:9" ht="26" x14ac:dyDescent="0.2">
      <c r="A51" s="13" t="s">
        <v>279</v>
      </c>
      <c r="B51" s="22" t="s">
        <v>288</v>
      </c>
      <c r="C51" s="23" t="s">
        <v>543</v>
      </c>
      <c r="D51" s="73">
        <v>34113.370598000001</v>
      </c>
      <c r="E51" s="74" t="s">
        <v>526</v>
      </c>
      <c r="F51" s="24" t="s">
        <v>290</v>
      </c>
      <c r="G51" s="18">
        <v>2021</v>
      </c>
      <c r="H51" s="135">
        <f>D51/IF(E51="S",_xlfn.XLOOKUP($G51,Tables_for_Reference!$J$15:$J$21,Tables_for_Reference!$I$15:$I$21),IF(ESG!$E51="W",_xlfn.XLOOKUP(ESG!$G51,Tables_for_Reference!$J$15:$J$21,Tables_for_Reference!$H$15:$H$21),"Error"))</f>
        <v>1.819758274947856</v>
      </c>
      <c r="I51" s="135">
        <f>$D51/IF($E51="S",_xlfn.XLOOKUP($G51,Tables_for_Reference!$J$24:$J$29,Tables_for_Reference!$I$24:$I$29),IF(ESG!E51="W",_xlfn.XLOOKUP(ESG!G51,Tables_for_Reference!$J$24:$J$29,Tables_for_Reference!$H$24:$H$29),"Error"))</f>
        <v>2.5833677090496026</v>
      </c>
    </row>
    <row r="52" spans="1:9" x14ac:dyDescent="0.2">
      <c r="A52" s="13" t="s">
        <v>279</v>
      </c>
      <c r="B52" s="22" t="s">
        <v>291</v>
      </c>
      <c r="C52" s="23" t="s">
        <v>536</v>
      </c>
      <c r="D52" s="73">
        <v>34856</v>
      </c>
      <c r="E52" s="74" t="s">
        <v>296</v>
      </c>
      <c r="F52" s="24" t="s">
        <v>295</v>
      </c>
      <c r="G52" s="18">
        <v>2024</v>
      </c>
      <c r="H52" s="135">
        <f>D52/IF(E52="S",_xlfn.XLOOKUP($G52,Tables_for_Reference!$J$15:$J$21,Tables_for_Reference!$I$15:$I$21),IF(ESG!$E52="W",_xlfn.XLOOKUP(ESG!$G52,Tables_for_Reference!$J$15:$J$21,Tables_for_Reference!$H$15:$H$21),"Error"))</f>
        <v>4.6264570650408583</v>
      </c>
      <c r="I52" s="135">
        <f>$D52/IF($E52="S",_xlfn.XLOOKUP($G52,Tables_for_Reference!$J$24:$J$29,Tables_for_Reference!$I$24:$I$29),IF(ESG!E52="W",_xlfn.XLOOKUP(ESG!G52,Tables_for_Reference!$J$24:$J$29,Tables_for_Reference!$H$24:$H$29),"Error"))</f>
        <v>2.4615659943484802</v>
      </c>
    </row>
    <row r="53" spans="1:9" x14ac:dyDescent="0.2">
      <c r="A53" s="13" t="s">
        <v>279</v>
      </c>
      <c r="B53" s="22" t="s">
        <v>291</v>
      </c>
      <c r="C53" s="23" t="s">
        <v>536</v>
      </c>
      <c r="D53" s="73">
        <v>39500</v>
      </c>
      <c r="E53" s="74" t="s">
        <v>296</v>
      </c>
      <c r="F53" s="24" t="s">
        <v>295</v>
      </c>
      <c r="G53" s="18">
        <v>2023</v>
      </c>
      <c r="H53" s="135">
        <f>D53/IF(E53="S",_xlfn.XLOOKUP($G53,Tables_for_Reference!$J$15:$J$21,Tables_for_Reference!$I$15:$I$21),IF(ESG!$E53="W",_xlfn.XLOOKUP(ESG!$G53,Tables_for_Reference!$J$15:$J$21,Tables_for_Reference!$H$15:$H$21),"Error"))</f>
        <v>3.5042583392476936</v>
      </c>
      <c r="I53" s="135">
        <f>$D53/IF($E53="S",_xlfn.XLOOKUP($G53,Tables_for_Reference!$J$24:$J$29,Tables_for_Reference!$I$24:$I$29),IF(ESG!E53="W",_xlfn.XLOOKUP(ESG!G53,Tables_for_Reference!$J$24:$J$29,Tables_for_Reference!$H$24:$H$29),"Error"))</f>
        <v>4.2154016904294371</v>
      </c>
    </row>
    <row r="54" spans="1:9" x14ac:dyDescent="0.2">
      <c r="A54" s="13" t="s">
        <v>279</v>
      </c>
      <c r="B54" s="22" t="s">
        <v>291</v>
      </c>
      <c r="C54" s="23" t="s">
        <v>536</v>
      </c>
      <c r="D54" s="73">
        <v>40100</v>
      </c>
      <c r="E54" s="74" t="s">
        <v>296</v>
      </c>
      <c r="F54" s="24" t="s">
        <v>295</v>
      </c>
      <c r="G54" s="18">
        <v>2020</v>
      </c>
      <c r="H54" s="135">
        <f>D54/IF(E54="S",_xlfn.XLOOKUP($G54,Tables_for_Reference!$J$15:$J$21,Tables_for_Reference!$I$15:$I$21),IF(ESG!$E54="W",_xlfn.XLOOKUP(ESG!$G54,Tables_for_Reference!$J$15:$J$21,Tables_for_Reference!$H$15:$H$21),"Error"))</f>
        <v>4.7010550996483005</v>
      </c>
      <c r="I54" s="135">
        <f>$D54/IF($E54="S",_xlfn.XLOOKUP($G54,Tables_for_Reference!$J$24:$J$29,Tables_for_Reference!$I$24:$I$29),IF(ESG!E54="W",_xlfn.XLOOKUP(ESG!G54,Tables_for_Reference!$J$24:$J$29,Tables_for_Reference!$H$24:$H$29),"Error"))</f>
        <v>4.0512416398941218</v>
      </c>
    </row>
    <row r="55" spans="1:9" x14ac:dyDescent="0.2">
      <c r="A55" s="13" t="s">
        <v>279</v>
      </c>
      <c r="B55" s="22" t="s">
        <v>291</v>
      </c>
      <c r="C55" s="23" t="s">
        <v>536</v>
      </c>
      <c r="D55" s="73">
        <v>41398</v>
      </c>
      <c r="E55" s="74" t="s">
        <v>296</v>
      </c>
      <c r="F55" s="24" t="s">
        <v>295</v>
      </c>
      <c r="G55" s="18">
        <v>2021</v>
      </c>
      <c r="H55" s="135">
        <f>D55/IF(E55="S",_xlfn.XLOOKUP($G55,Tables_for_Reference!$J$15:$J$21,Tables_for_Reference!$I$15:$I$21),IF(ESG!$E55="W",_xlfn.XLOOKUP(ESG!$G55,Tables_for_Reference!$J$15:$J$21,Tables_for_Reference!$H$15:$H$21),"Error"))</f>
        <v>4.0959730879588401</v>
      </c>
      <c r="I55" s="135">
        <f>$D55/IF($E55="S",_xlfn.XLOOKUP($G55,Tables_for_Reference!$J$24:$J$29,Tables_for_Reference!$I$24:$I$29),IF(ESG!E55="W",_xlfn.XLOOKUP(ESG!G55,Tables_for_Reference!$J$24:$J$29,Tables_for_Reference!$H$24:$H$29),"Error"))</f>
        <v>3.3138282969781869</v>
      </c>
    </row>
    <row r="56" spans="1:9" x14ac:dyDescent="0.2">
      <c r="A56" s="13" t="s">
        <v>279</v>
      </c>
      <c r="B56" s="22" t="s">
        <v>291</v>
      </c>
      <c r="C56" s="23" t="s">
        <v>536</v>
      </c>
      <c r="D56" s="73">
        <v>41750</v>
      </c>
      <c r="E56" s="74" t="s">
        <v>296</v>
      </c>
      <c r="F56" s="24" t="s">
        <v>295</v>
      </c>
      <c r="G56" s="18">
        <v>2022</v>
      </c>
      <c r="H56" s="135">
        <f>D56/IF(E56="S",_xlfn.XLOOKUP($G56,Tables_for_Reference!$J$15:$J$21,Tables_for_Reference!$I$15:$I$21),IF(ESG!$E56="W",_xlfn.XLOOKUP(ESG!$G56,Tables_for_Reference!$J$15:$J$21,Tables_for_Reference!$H$15:$H$21),"Error"))</f>
        <v>3.2579008973858761</v>
      </c>
      <c r="I56" s="135">
        <f>$D56/IF($E56="S",_xlfn.XLOOKUP($G56,Tables_for_Reference!$J$24:$J$29,Tables_for_Reference!$I$24:$I$29),IF(ESG!E56="W",_xlfn.XLOOKUP(ESG!G56,Tables_for_Reference!$J$24:$J$29,Tables_for_Reference!$H$24:$H$29),"Error"))</f>
        <v>4.646633277685031</v>
      </c>
    </row>
    <row r="57" spans="1:9" x14ac:dyDescent="0.2">
      <c r="A57" s="13" t="s">
        <v>279</v>
      </c>
      <c r="B57" s="22" t="s">
        <v>291</v>
      </c>
      <c r="C57" s="23" t="s">
        <v>536</v>
      </c>
      <c r="D57" s="73">
        <v>42015</v>
      </c>
      <c r="E57" s="74" t="s">
        <v>296</v>
      </c>
      <c r="F57" s="24" t="s">
        <v>295</v>
      </c>
      <c r="G57" s="18">
        <v>2019</v>
      </c>
      <c r="H57" s="135">
        <f>D57/IF(E57="S",_xlfn.XLOOKUP($G57,Tables_for_Reference!$J$15:$J$21,Tables_for_Reference!$I$15:$I$21),IF(ESG!$E57="W",_xlfn.XLOOKUP(ESG!$G57,Tables_for_Reference!$J$15:$J$21,Tables_for_Reference!$H$15:$H$21),"Error"))</f>
        <v>4.6435676392572942</v>
      </c>
      <c r="I57" s="135">
        <f>$D57/IF($E57="S",_xlfn.XLOOKUP($G57,Tables_for_Reference!$J$24:$J$29,Tables_for_Reference!$I$24:$I$29),IF(ESG!E57="W",_xlfn.XLOOKUP(ESG!G57,Tables_for_Reference!$J$24:$J$29,Tables_for_Reference!$H$24:$H$29),"Error"))</f>
        <v>5.1209077834385583</v>
      </c>
    </row>
    <row r="58" spans="1:9" ht="26" x14ac:dyDescent="0.2">
      <c r="A58" s="13" t="s">
        <v>279</v>
      </c>
      <c r="B58" s="14" t="s">
        <v>288</v>
      </c>
      <c r="C58" s="23" t="s">
        <v>530</v>
      </c>
      <c r="D58" s="73">
        <v>46629.073502879997</v>
      </c>
      <c r="E58" s="74" t="s">
        <v>526</v>
      </c>
      <c r="F58" s="24" t="s">
        <v>290</v>
      </c>
      <c r="G58" s="18">
        <v>2024</v>
      </c>
      <c r="H58" s="135">
        <f>D58/IF(E58="S",_xlfn.XLOOKUP($G58,Tables_for_Reference!$J$15:$J$21,Tables_for_Reference!$I$15:$I$21),IF(ESG!$E58="W",_xlfn.XLOOKUP(ESG!$G58,Tables_for_Reference!$J$15:$J$21,Tables_for_Reference!$H$15:$H$21),"Error"))</f>
        <v>3.4349374439145448</v>
      </c>
      <c r="I58" s="135">
        <f>$D58/IF($E58="S",_xlfn.XLOOKUP($G58,Tables_for_Reference!$J$24:$J$29,Tables_for_Reference!$I$24:$I$29),IF(ESG!E58="W",_xlfn.XLOOKUP(ESG!G58,Tables_for_Reference!$J$24:$J$29,Tables_for_Reference!$H$24:$H$29),"Error"))</f>
        <v>3.3616210309769841</v>
      </c>
    </row>
    <row r="59" spans="1:9" ht="26" x14ac:dyDescent="0.2">
      <c r="A59" s="13" t="s">
        <v>279</v>
      </c>
      <c r="B59" s="14" t="s">
        <v>288</v>
      </c>
      <c r="C59" s="23" t="s">
        <v>530</v>
      </c>
      <c r="D59" s="73">
        <v>48804.06114939</v>
      </c>
      <c r="E59" s="74" t="s">
        <v>526</v>
      </c>
      <c r="F59" s="24" t="s">
        <v>290</v>
      </c>
      <c r="G59" s="18">
        <v>2023</v>
      </c>
      <c r="H59" s="135">
        <f>D59/IF(E59="S",_xlfn.XLOOKUP($G59,Tables_for_Reference!$J$15:$J$21,Tables_for_Reference!$I$15:$I$21),IF(ESG!$E59="W",_xlfn.XLOOKUP(ESG!$G59,Tables_for_Reference!$J$15:$J$21,Tables_for_Reference!$H$15:$H$21),"Error"))</f>
        <v>2.4029572205509599</v>
      </c>
      <c r="I59" s="135">
        <f>$D59/IF($E59="S",_xlfn.XLOOKUP($G59,Tables_for_Reference!$J$24:$J$29,Tables_for_Reference!$I$24:$I$29),IF(ESG!E59="W",_xlfn.XLOOKUP(ESG!G59,Tables_for_Reference!$J$24:$J$29,Tables_for_Reference!$H$24:$H$29),"Error"))</f>
        <v>5.3168677919828742</v>
      </c>
    </row>
    <row r="60" spans="1:9" ht="26" x14ac:dyDescent="0.2">
      <c r="A60" s="13" t="s">
        <v>279</v>
      </c>
      <c r="B60" s="14" t="s">
        <v>288</v>
      </c>
      <c r="C60" s="23" t="s">
        <v>530</v>
      </c>
      <c r="D60" s="73">
        <v>54927.000627299996</v>
      </c>
      <c r="E60" s="74" t="s">
        <v>526</v>
      </c>
      <c r="F60" s="24" t="s">
        <v>290</v>
      </c>
      <c r="G60" s="18">
        <v>2022</v>
      </c>
      <c r="H60" s="135">
        <f>D60/IF(E60="S",_xlfn.XLOOKUP($G60,Tables_for_Reference!$J$15:$J$21,Tables_for_Reference!$I$15:$I$21),IF(ESG!$E60="W",_xlfn.XLOOKUP(ESG!$G60,Tables_for_Reference!$J$15:$J$21,Tables_for_Reference!$H$15:$H$21),"Error"))</f>
        <v>2.5840096265754005</v>
      </c>
      <c r="I60" s="135">
        <f>$D60/IF($E60="S",_xlfn.XLOOKUP($G60,Tables_for_Reference!$J$24:$J$29,Tables_for_Reference!$I$24:$I$29),IF(ESG!E60="W",_xlfn.XLOOKUP(ESG!G60,Tables_for_Reference!$J$24:$J$29,Tables_for_Reference!$H$24:$H$29),"Error"))</f>
        <v>6.9895908362134787</v>
      </c>
    </row>
    <row r="61" spans="1:9" ht="26" x14ac:dyDescent="0.2">
      <c r="A61" s="13" t="s">
        <v>279</v>
      </c>
      <c r="B61" s="14" t="s">
        <v>288</v>
      </c>
      <c r="C61" s="23" t="s">
        <v>530</v>
      </c>
      <c r="D61" s="73">
        <v>57458.68054704</v>
      </c>
      <c r="E61" s="74" t="s">
        <v>526</v>
      </c>
      <c r="F61" s="24" t="s">
        <v>290</v>
      </c>
      <c r="G61" s="18">
        <v>2021</v>
      </c>
      <c r="H61" s="135">
        <f>D61/IF(E61="S",_xlfn.XLOOKUP($G61,Tables_for_Reference!$J$15:$J$21,Tables_for_Reference!$I$15:$I$21),IF(ESG!$E61="W",_xlfn.XLOOKUP(ESG!$G61,Tables_for_Reference!$J$15:$J$21,Tables_for_Reference!$H$15:$H$21),"Error"))</f>
        <v>3.0651005034135101</v>
      </c>
      <c r="I61" s="135">
        <f>$D61/IF($E61="S",_xlfn.XLOOKUP($G61,Tables_for_Reference!$J$24:$J$29,Tables_for_Reference!$I$24:$I$29),IF(ESG!E61="W",_xlfn.XLOOKUP(ESG!G61,Tables_for_Reference!$J$24:$J$29,Tables_for_Reference!$H$24:$H$29),"Error"))</f>
        <v>4.3512821315441119</v>
      </c>
    </row>
    <row r="62" spans="1:9" ht="26" x14ac:dyDescent="0.2">
      <c r="A62" s="13" t="s">
        <v>279</v>
      </c>
      <c r="B62" s="14" t="s">
        <v>288</v>
      </c>
      <c r="C62" s="23" t="s">
        <v>530</v>
      </c>
      <c r="D62" s="73">
        <v>59739.768911789994</v>
      </c>
      <c r="E62" s="74" t="s">
        <v>526</v>
      </c>
      <c r="F62" s="24" t="s">
        <v>290</v>
      </c>
      <c r="G62" s="18">
        <v>2020</v>
      </c>
      <c r="H62" s="135">
        <f>D62/IF(E62="S",_xlfn.XLOOKUP($G62,Tables_for_Reference!$J$15:$J$21,Tables_for_Reference!$I$15:$I$21),IF(ESG!$E62="W",_xlfn.XLOOKUP(ESG!$G62,Tables_for_Reference!$J$15:$J$21,Tables_for_Reference!$H$15:$H$21),"Error"))</f>
        <v>3.3983985773653491</v>
      </c>
      <c r="I62" s="135">
        <f>$D62/IF($E62="S",_xlfn.XLOOKUP($G62,Tables_for_Reference!$J$24:$J$29,Tables_for_Reference!$I$24:$I$29),IF(ESG!E62="W",_xlfn.XLOOKUP(ESG!G62,Tables_for_Reference!$J$24:$J$29,Tables_for_Reference!$H$24:$H$29),"Error"))</f>
        <v>6.603779325446868</v>
      </c>
    </row>
    <row r="63" spans="1:9" ht="26" x14ac:dyDescent="0.2">
      <c r="A63" s="13" t="s">
        <v>279</v>
      </c>
      <c r="B63" s="14" t="s">
        <v>288</v>
      </c>
      <c r="C63" s="23" t="s">
        <v>530</v>
      </c>
      <c r="D63" s="73">
        <v>62291.219919869996</v>
      </c>
      <c r="E63" s="74" t="s">
        <v>526</v>
      </c>
      <c r="F63" s="24" t="s">
        <v>290</v>
      </c>
      <c r="G63" s="18">
        <v>2019</v>
      </c>
      <c r="H63" s="135">
        <f>D63/IF(E63="S",_xlfn.XLOOKUP($G63,Tables_for_Reference!$J$15:$J$21,Tables_for_Reference!$I$15:$I$21),IF(ESG!$E63="W",_xlfn.XLOOKUP(ESG!$G63,Tables_for_Reference!$J$15:$J$21,Tables_for_Reference!$H$15:$H$21),"Error"))</f>
        <v>3.4059390846886104</v>
      </c>
      <c r="I63" s="135">
        <f>$D63/IF($E63="S",_xlfn.XLOOKUP($G63,Tables_for_Reference!$J$24:$J$29,Tables_for_Reference!$I$24:$I$29),IF(ESG!E63="W",_xlfn.XLOOKUP(ESG!G63,Tables_for_Reference!$J$24:$J$29,Tables_for_Reference!$H$24:$H$29),"Error"))</f>
        <v>6.628982198181296</v>
      </c>
    </row>
    <row r="64" spans="1:9" x14ac:dyDescent="0.2">
      <c r="A64" s="13" t="s">
        <v>279</v>
      </c>
      <c r="B64" s="22" t="s">
        <v>288</v>
      </c>
      <c r="C64" s="23" t="s">
        <v>289</v>
      </c>
      <c r="D64" s="73">
        <v>83498.912781990002</v>
      </c>
      <c r="E64" s="74" t="s">
        <v>526</v>
      </c>
      <c r="F64" s="24" t="s">
        <v>290</v>
      </c>
      <c r="G64" s="18">
        <v>2024</v>
      </c>
      <c r="H64" s="135">
        <f>D64/IF(E64="S",_xlfn.XLOOKUP($G64,Tables_for_Reference!$J$15:$J$21,Tables_for_Reference!$I$15:$I$21),IF(ESG!$E64="W",_xlfn.XLOOKUP(ESG!$G64,Tables_for_Reference!$J$15:$J$21,Tables_for_Reference!$H$15:$H$21),"Error"))</f>
        <v>6.1509594871812645</v>
      </c>
      <c r="I64" s="135">
        <f>$D64/IF($E64="S",_xlfn.XLOOKUP($G64,Tables_for_Reference!$J$24:$J$29,Tables_for_Reference!$I$24:$I$29),IF(ESG!E64="W",_xlfn.XLOOKUP(ESG!G64,Tables_for_Reference!$J$24:$J$29,Tables_for_Reference!$H$24:$H$29),"Error"))</f>
        <v>6.0196714235446658</v>
      </c>
    </row>
    <row r="65" spans="1:9" x14ac:dyDescent="0.2">
      <c r="A65" s="13" t="s">
        <v>279</v>
      </c>
      <c r="B65" s="22" t="s">
        <v>288</v>
      </c>
      <c r="C65" s="23" t="s">
        <v>289</v>
      </c>
      <c r="D65" s="73">
        <v>86202.487928039991</v>
      </c>
      <c r="E65" s="74" t="s">
        <v>526</v>
      </c>
      <c r="F65" s="24" t="s">
        <v>290</v>
      </c>
      <c r="G65" s="18">
        <v>2023</v>
      </c>
      <c r="H65" s="135">
        <f>D65/IF(E65="S",_xlfn.XLOOKUP($G65,Tables_for_Reference!$J$15:$J$21,Tables_for_Reference!$I$15:$I$21),IF(ESG!$E65="W",_xlfn.XLOOKUP(ESG!$G65,Tables_for_Reference!$J$15:$J$21,Tables_for_Reference!$H$15:$H$21),"Error"))</f>
        <v>4.2443371702629245</v>
      </c>
      <c r="I65" s="135">
        <f>$D65/IF($E65="S",_xlfn.XLOOKUP($G65,Tables_for_Reference!$J$24:$J$29,Tables_for_Reference!$I$24:$I$29),IF(ESG!E65="W",_xlfn.XLOOKUP(ESG!G65,Tables_for_Reference!$J$24:$J$29,Tables_for_Reference!$H$24:$H$29),"Error"))</f>
        <v>9.3911699325685518</v>
      </c>
    </row>
    <row r="66" spans="1:9" x14ac:dyDescent="0.2">
      <c r="A66" s="13" t="s">
        <v>279</v>
      </c>
      <c r="B66" s="22" t="s">
        <v>288</v>
      </c>
      <c r="C66" s="23" t="s">
        <v>289</v>
      </c>
      <c r="D66" s="73">
        <v>88264.560392669999</v>
      </c>
      <c r="E66" s="74" t="s">
        <v>526</v>
      </c>
      <c r="F66" s="24" t="s">
        <v>290</v>
      </c>
      <c r="G66" s="18">
        <v>2022</v>
      </c>
      <c r="H66" s="135">
        <f>D66/IF(E66="S",_xlfn.XLOOKUP($G66,Tables_for_Reference!$J$15:$J$21,Tables_for_Reference!$I$15:$I$21),IF(ESG!$E66="W",_xlfn.XLOOKUP(ESG!$G66,Tables_for_Reference!$J$15:$J$21,Tables_for_Reference!$H$15:$H$21),"Error"))</f>
        <v>4.1523562389231525</v>
      </c>
      <c r="I66" s="135">
        <f>$D66/IF($E66="S",_xlfn.XLOOKUP($G66,Tables_for_Reference!$J$24:$J$29,Tables_for_Reference!$I$24:$I$29),IF(ESG!E66="W",_xlfn.XLOOKUP(ESG!G66,Tables_for_Reference!$J$24:$J$29,Tables_for_Reference!$H$24:$H$29),"Error"))</f>
        <v>11.231874222827802</v>
      </c>
    </row>
    <row r="67" spans="1:9" x14ac:dyDescent="0.2">
      <c r="A67" s="13" t="s">
        <v>279</v>
      </c>
      <c r="B67" s="22" t="s">
        <v>288</v>
      </c>
      <c r="C67" s="23" t="s">
        <v>289</v>
      </c>
      <c r="D67" s="73">
        <v>90749.065420649989</v>
      </c>
      <c r="E67" s="74" t="s">
        <v>526</v>
      </c>
      <c r="F67" s="24" t="s">
        <v>290</v>
      </c>
      <c r="G67" s="18">
        <v>2020</v>
      </c>
      <c r="H67" s="135">
        <f>D67/IF(E67="S",_xlfn.XLOOKUP($G67,Tables_for_Reference!$J$15:$J$21,Tables_for_Reference!$I$15:$I$21),IF(ESG!$E67="W",_xlfn.XLOOKUP(ESG!$G67,Tables_for_Reference!$J$15:$J$21,Tables_for_Reference!$H$15:$H$21),"Error"))</f>
        <v>5.1624152627397768</v>
      </c>
      <c r="I67" s="135">
        <f>$D67/IF($E67="S",_xlfn.XLOOKUP($G67,Tables_for_Reference!$J$24:$J$29,Tables_for_Reference!$I$24:$I$29),IF(ESG!E67="W",_xlfn.XLOOKUP(ESG!G67,Tables_for_Reference!$J$24:$J$29,Tables_for_Reference!$H$24:$H$29),"Error"))</f>
        <v>10.031622367227484</v>
      </c>
    </row>
    <row r="68" spans="1:9" x14ac:dyDescent="0.2">
      <c r="A68" s="13" t="s">
        <v>279</v>
      </c>
      <c r="B68" s="22" t="s">
        <v>288</v>
      </c>
      <c r="C68" s="23" t="s">
        <v>289</v>
      </c>
      <c r="D68" s="73">
        <v>91580.201097059995</v>
      </c>
      <c r="E68" s="74" t="s">
        <v>526</v>
      </c>
      <c r="F68" s="24" t="s">
        <v>290</v>
      </c>
      <c r="G68" s="18">
        <v>2021</v>
      </c>
      <c r="H68" s="135">
        <f>D68/IF(E68="S",_xlfn.XLOOKUP($G68,Tables_for_Reference!$J$15:$J$21,Tables_for_Reference!$I$15:$I$21),IF(ESG!$E68="W",_xlfn.XLOOKUP(ESG!$G68,Tables_for_Reference!$J$15:$J$21,Tables_for_Reference!$H$15:$H$21),"Error"))</f>
        <v>4.8852935328980429</v>
      </c>
      <c r="I68" s="135">
        <f>$D68/IF($E68="S",_xlfn.XLOOKUP($G68,Tables_for_Reference!$J$24:$J$29,Tables_for_Reference!$I$24:$I$29),IF(ESG!E68="W",_xlfn.XLOOKUP(ESG!G68,Tables_for_Reference!$J$24:$J$29,Tables_for_Reference!$H$24:$H$29),"Error"))</f>
        <v>6.9352670274184014</v>
      </c>
    </row>
    <row r="69" spans="1:9" x14ac:dyDescent="0.2">
      <c r="A69" s="13" t="s">
        <v>279</v>
      </c>
      <c r="B69" s="22" t="s">
        <v>288</v>
      </c>
      <c r="C69" s="23" t="s">
        <v>289</v>
      </c>
      <c r="D69" s="73">
        <v>94324.609100069996</v>
      </c>
      <c r="E69" s="74" t="s">
        <v>526</v>
      </c>
      <c r="F69" s="24" t="s">
        <v>290</v>
      </c>
      <c r="G69" s="18">
        <v>2019</v>
      </c>
      <c r="H69" s="135">
        <f>D69/IF(E69="S",_xlfn.XLOOKUP($G69,Tables_for_Reference!$J$15:$J$21,Tables_for_Reference!$I$15:$I$21),IF(ESG!$E69="W",_xlfn.XLOOKUP(ESG!$G69,Tables_for_Reference!$J$15:$J$21,Tables_for_Reference!$H$15:$H$21),"Error"))</f>
        <v>5.157450330803762</v>
      </c>
      <c r="I69" s="135">
        <f>$D69/IF($E69="S",_xlfn.XLOOKUP($G69,Tables_for_Reference!$J$24:$J$29,Tables_for_Reference!$I$24:$I$29),IF(ESG!E69="W",_xlfn.XLOOKUP(ESG!G69,Tables_for_Reference!$J$24:$J$29,Tables_for_Reference!$H$24:$H$29),"Error"))</f>
        <v>10.037950057473822</v>
      </c>
    </row>
    <row r="70" spans="1:9" x14ac:dyDescent="0.2">
      <c r="A70" s="13" t="s">
        <v>279</v>
      </c>
      <c r="B70" s="14" t="s">
        <v>293</v>
      </c>
      <c r="C70" s="15" t="s">
        <v>541</v>
      </c>
      <c r="D70" s="73">
        <v>188061</v>
      </c>
      <c r="E70" s="74" t="s">
        <v>526</v>
      </c>
      <c r="F70" s="17" t="s">
        <v>295</v>
      </c>
      <c r="G70" s="18">
        <v>2021</v>
      </c>
      <c r="H70" s="135">
        <f>D70/IF(E70="S",_xlfn.XLOOKUP($G70,Tables_for_Reference!$J$15:$J$21,Tables_for_Reference!$I$15:$I$21),IF(ESG!$E70="W",_xlfn.XLOOKUP(ESG!$G70,Tables_for_Reference!$J$15:$J$21,Tables_for_Reference!$H$15:$H$21),"Error"))</f>
        <v>10.032006657384736</v>
      </c>
      <c r="I70" s="135">
        <f>$D70/IF($E70="S",_xlfn.XLOOKUP($G70,Tables_for_Reference!$J$24:$J$29,Tables_for_Reference!$I$24:$I$29),IF(ESG!E70="W",_xlfn.XLOOKUP(ESG!G70,Tables_for_Reference!$J$24:$J$29,Tables_for_Reference!$H$24:$H$29),"Error"))</f>
        <v>14.241650889814464</v>
      </c>
    </row>
    <row r="71" spans="1:9" x14ac:dyDescent="0.2">
      <c r="A71" s="13" t="s">
        <v>279</v>
      </c>
      <c r="B71" s="14" t="s">
        <v>293</v>
      </c>
      <c r="C71" s="15" t="s">
        <v>541</v>
      </c>
      <c r="D71" s="73">
        <v>216409</v>
      </c>
      <c r="E71" s="74" t="s">
        <v>526</v>
      </c>
      <c r="F71" s="17" t="s">
        <v>295</v>
      </c>
      <c r="G71" s="18">
        <v>2019</v>
      </c>
      <c r="H71" s="135">
        <f>D71/IF(E71="S",_xlfn.XLOOKUP($G71,Tables_for_Reference!$J$15:$J$21,Tables_for_Reference!$I$15:$I$21),IF(ESG!$E71="W",_xlfn.XLOOKUP(ESG!$G71,Tables_for_Reference!$J$15:$J$21,Tables_for_Reference!$H$15:$H$21),"Error"))</f>
        <v>11.832740991853026</v>
      </c>
      <c r="I71" s="135">
        <f>$D71/IF($E71="S",_xlfn.XLOOKUP($G71,Tables_for_Reference!$J$24:$J$29,Tables_for_Reference!$I$24:$I$29),IF(ESG!E71="W",_xlfn.XLOOKUP(ESG!G71,Tables_for_Reference!$J$24:$J$29,Tables_for_Reference!$H$24:$H$29),"Error"))</f>
        <v>23.030074067767753</v>
      </c>
    </row>
    <row r="72" spans="1:9" x14ac:dyDescent="0.2">
      <c r="A72" s="13" t="s">
        <v>279</v>
      </c>
      <c r="B72" s="14" t="s">
        <v>293</v>
      </c>
      <c r="C72" s="15" t="s">
        <v>541</v>
      </c>
      <c r="D72" s="73">
        <v>223966</v>
      </c>
      <c r="E72" s="74" t="s">
        <v>526</v>
      </c>
      <c r="F72" s="17" t="s">
        <v>295</v>
      </c>
      <c r="G72" s="18">
        <v>2020</v>
      </c>
      <c r="H72" s="135">
        <f>D72/IF(E72="S",_xlfn.XLOOKUP($G72,Tables_for_Reference!$J$15:$J$21,Tables_for_Reference!$I$15:$I$21),IF(ESG!$E72="W",_xlfn.XLOOKUP(ESG!$G72,Tables_for_Reference!$J$15:$J$21,Tables_for_Reference!$H$15:$H$21),"Error"))</f>
        <v>12.740687646483265</v>
      </c>
      <c r="I72" s="135">
        <f>$D72/IF($E72="S",_xlfn.XLOOKUP($G72,Tables_for_Reference!$J$24:$J$29,Tables_for_Reference!$I$24:$I$29),IF(ESG!E72="W",_xlfn.XLOOKUP(ESG!G72,Tables_for_Reference!$J$24:$J$29,Tables_for_Reference!$H$24:$H$29),"Error"))</f>
        <v>24.757746260902248</v>
      </c>
    </row>
    <row r="73" spans="1:9" x14ac:dyDescent="0.2">
      <c r="A73" s="13" t="s">
        <v>279</v>
      </c>
      <c r="B73" s="14" t="s">
        <v>293</v>
      </c>
      <c r="C73" s="15" t="s">
        <v>529</v>
      </c>
      <c r="D73" s="73">
        <v>227237</v>
      </c>
      <c r="E73" s="74" t="s">
        <v>526</v>
      </c>
      <c r="F73" s="17" t="s">
        <v>295</v>
      </c>
      <c r="G73" s="18">
        <v>2024</v>
      </c>
      <c r="H73" s="135">
        <f>D73/IF(E73="S",_xlfn.XLOOKUP($G73,Tables_for_Reference!$J$15:$J$21,Tables_for_Reference!$I$15:$I$21),IF(ESG!$E73="W",_xlfn.XLOOKUP(ESG!$G73,Tables_for_Reference!$J$15:$J$21,Tables_for_Reference!$H$15:$H$21),"Error"))</f>
        <v>16.739446472051387</v>
      </c>
      <c r="I73" s="135">
        <f>$D73/IF($E73="S",_xlfn.XLOOKUP($G73,Tables_for_Reference!$J$24:$J$29,Tables_for_Reference!$I$24:$I$29),IF(ESG!E73="W",_xlfn.XLOOKUP(ESG!G73,Tables_for_Reference!$J$24:$J$29,Tables_for_Reference!$H$24:$H$29),"Error"))</f>
        <v>16.382154326290365</v>
      </c>
    </row>
    <row r="74" spans="1:9" x14ac:dyDescent="0.2">
      <c r="A74" s="13" t="s">
        <v>279</v>
      </c>
      <c r="B74" s="14" t="s">
        <v>293</v>
      </c>
      <c r="C74" s="15" t="s">
        <v>541</v>
      </c>
      <c r="D74" s="73">
        <v>233141</v>
      </c>
      <c r="E74" s="74" t="s">
        <v>526</v>
      </c>
      <c r="F74" s="17" t="s">
        <v>295</v>
      </c>
      <c r="G74" s="18">
        <v>2023</v>
      </c>
      <c r="H74" s="135">
        <f>D74/IF(E74="S",_xlfn.XLOOKUP($G74,Tables_for_Reference!$J$15:$J$21,Tables_for_Reference!$I$15:$I$21),IF(ESG!$E74="W",_xlfn.XLOOKUP(ESG!$G74,Tables_for_Reference!$J$15:$J$21,Tables_for_Reference!$H$15:$H$21),"Error"))</f>
        <v>11.479123584441162</v>
      </c>
      <c r="I74" s="135">
        <f>$D74/IF($E74="S",_xlfn.XLOOKUP($G74,Tables_for_Reference!$J$24:$J$29,Tables_for_Reference!$I$24:$I$29),IF(ESG!E74="W",_xlfn.XLOOKUP(ESG!G74,Tables_for_Reference!$J$24:$J$29,Tables_for_Reference!$H$24:$H$29),"Error"))</f>
        <v>25.399113202819446</v>
      </c>
    </row>
    <row r="75" spans="1:9" x14ac:dyDescent="0.2">
      <c r="A75" s="13" t="s">
        <v>279</v>
      </c>
      <c r="B75" s="14" t="s">
        <v>293</v>
      </c>
      <c r="C75" s="15" t="s">
        <v>541</v>
      </c>
      <c r="D75" s="73">
        <v>237729</v>
      </c>
      <c r="E75" s="74" t="s">
        <v>526</v>
      </c>
      <c r="F75" s="17" t="s">
        <v>295</v>
      </c>
      <c r="G75" s="18">
        <v>2022</v>
      </c>
      <c r="H75" s="135">
        <f>D75/IF(E75="S",_xlfn.XLOOKUP($G75,Tables_for_Reference!$J$15:$J$21,Tables_for_Reference!$I$15:$I$21),IF(ESG!$E75="W",_xlfn.XLOOKUP(ESG!$G75,Tables_for_Reference!$J$15:$J$21,Tables_for_Reference!$H$15:$H$21),"Error"))</f>
        <v>11.183826123773905</v>
      </c>
      <c r="I75" s="135">
        <f>$D75/IF($E75="S",_xlfn.XLOOKUP($G75,Tables_for_Reference!$J$24:$J$29,Tables_for_Reference!$I$24:$I$29),IF(ESG!E75="W",_xlfn.XLOOKUP(ESG!G75,Tables_for_Reference!$J$24:$J$29,Tables_for_Reference!$H$24:$H$29),"Error"))</f>
        <v>30.251577929349487</v>
      </c>
    </row>
    <row r="76" spans="1:9" x14ac:dyDescent="0.2">
      <c r="A76" s="13" t="s">
        <v>279</v>
      </c>
      <c r="B76" s="14" t="s">
        <v>293</v>
      </c>
      <c r="C76" s="15" t="s">
        <v>529</v>
      </c>
      <c r="D76" s="73">
        <v>247340</v>
      </c>
      <c r="E76" s="74" t="s">
        <v>526</v>
      </c>
      <c r="F76" s="17" t="s">
        <v>295</v>
      </c>
      <c r="G76" s="18">
        <v>2023</v>
      </c>
      <c r="H76" s="135">
        <f>D76/IF(E76="S",_xlfn.XLOOKUP($G76,Tables_for_Reference!$J$15:$J$21,Tables_for_Reference!$I$15:$I$21),IF(ESG!$E76="W",_xlfn.XLOOKUP(ESG!$G76,Tables_for_Reference!$J$15:$J$21,Tables_for_Reference!$H$15:$H$21),"Error"))</f>
        <v>12.178237321516495</v>
      </c>
      <c r="I76" s="135">
        <f>$D76/IF($E76="S",_xlfn.XLOOKUP($G76,Tables_for_Reference!$J$24:$J$29,Tables_for_Reference!$I$24:$I$29),IF(ESG!E76="W",_xlfn.XLOOKUP(ESG!G76,Tables_for_Reference!$J$24:$J$29,Tables_for_Reference!$H$24:$H$29),"Error"))</f>
        <v>26.945996884226123</v>
      </c>
    </row>
    <row r="77" spans="1:9" x14ac:dyDescent="0.2">
      <c r="A77" s="13" t="s">
        <v>279</v>
      </c>
      <c r="B77" s="14" t="s">
        <v>293</v>
      </c>
      <c r="C77" s="15" t="s">
        <v>529</v>
      </c>
      <c r="D77" s="73">
        <v>250534</v>
      </c>
      <c r="E77" s="74" t="s">
        <v>526</v>
      </c>
      <c r="F77" s="17" t="s">
        <v>295</v>
      </c>
      <c r="G77" s="18">
        <v>2019</v>
      </c>
      <c r="H77" s="135">
        <f>D77/IF(E77="S",_xlfn.XLOOKUP($G77,Tables_for_Reference!$J$15:$J$21,Tables_for_Reference!$I$15:$I$21),IF(ESG!$E77="W",_xlfn.XLOOKUP(ESG!$G77,Tables_for_Reference!$J$15:$J$21,Tables_for_Reference!$H$15:$H$21),"Error"))</f>
        <v>13.698616654819837</v>
      </c>
      <c r="I77" s="135">
        <f>$D77/IF($E77="S",_xlfn.XLOOKUP($G77,Tables_for_Reference!$J$24:$J$29,Tables_for_Reference!$I$24:$I$29),IF(ESG!E77="W",_xlfn.XLOOKUP(ESG!G77,Tables_for_Reference!$J$24:$J$29,Tables_for_Reference!$H$24:$H$29),"Error"))</f>
        <v>26.661629490890519</v>
      </c>
    </row>
    <row r="78" spans="1:9" x14ac:dyDescent="0.2">
      <c r="A78" s="13" t="s">
        <v>279</v>
      </c>
      <c r="B78" s="14" t="s">
        <v>293</v>
      </c>
      <c r="C78" s="15" t="s">
        <v>541</v>
      </c>
      <c r="D78" s="73">
        <v>269335</v>
      </c>
      <c r="E78" s="74" t="s">
        <v>526</v>
      </c>
      <c r="F78" s="17" t="s">
        <v>295</v>
      </c>
      <c r="G78" s="18">
        <v>2024</v>
      </c>
      <c r="H78" s="135">
        <f>D78/IF(E78="S",_xlfn.XLOOKUP($G78,Tables_for_Reference!$J$15:$J$21,Tables_for_Reference!$I$15:$I$21),IF(ESG!$E78="W",_xlfn.XLOOKUP(ESG!$G78,Tables_for_Reference!$J$15:$J$21,Tables_for_Reference!$H$15:$H$21),"Error"))</f>
        <v>19.84060173101194</v>
      </c>
      <c r="I78" s="135">
        <f>$D78/IF($E78="S",_xlfn.XLOOKUP($G78,Tables_for_Reference!$J$24:$J$29,Tables_for_Reference!$I$24:$I$29),IF(ESG!E78="W",_xlfn.XLOOKUP(ESG!G78,Tables_for_Reference!$J$24:$J$29,Tables_for_Reference!$H$24:$H$29),"Error"))</f>
        <v>19.417117526949465</v>
      </c>
    </row>
    <row r="79" spans="1:9" x14ac:dyDescent="0.2">
      <c r="A79" s="13" t="s">
        <v>279</v>
      </c>
      <c r="B79" s="14" t="s">
        <v>293</v>
      </c>
      <c r="C79" s="15" t="s">
        <v>529</v>
      </c>
      <c r="D79" s="73">
        <v>275836</v>
      </c>
      <c r="E79" s="74" t="s">
        <v>526</v>
      </c>
      <c r="F79" s="17" t="s">
        <v>295</v>
      </c>
      <c r="G79" s="18">
        <v>2020</v>
      </c>
      <c r="H79" s="135">
        <f>D79/IF(E79="S",_xlfn.XLOOKUP($G79,Tables_for_Reference!$J$15:$J$21,Tables_for_Reference!$I$15:$I$21),IF(ESG!$E79="W",_xlfn.XLOOKUP(ESG!$G79,Tables_for_Reference!$J$15:$J$21,Tables_for_Reference!$H$15:$H$21),"Error"))</f>
        <v>15.691401005756935</v>
      </c>
      <c r="I79" s="135">
        <f>$D79/IF($E79="S",_xlfn.XLOOKUP($G79,Tables_for_Reference!$J$24:$J$29,Tables_for_Reference!$I$24:$I$29),IF(ESG!E79="W",_xlfn.XLOOKUP(ESG!G79,Tables_for_Reference!$J$24:$J$29,Tables_for_Reference!$H$24:$H$29),"Error"))</f>
        <v>30.491582193825103</v>
      </c>
    </row>
    <row r="80" spans="1:9" x14ac:dyDescent="0.2">
      <c r="A80" s="13" t="s">
        <v>279</v>
      </c>
      <c r="B80" s="14" t="s">
        <v>293</v>
      </c>
      <c r="C80" s="15" t="s">
        <v>529</v>
      </c>
      <c r="D80" s="73">
        <v>304736</v>
      </c>
      <c r="E80" s="74" t="s">
        <v>526</v>
      </c>
      <c r="F80" s="17" t="s">
        <v>295</v>
      </c>
      <c r="G80" s="18">
        <v>2021</v>
      </c>
      <c r="H80" s="135">
        <f>D80/IF(E80="S",_xlfn.XLOOKUP($G80,Tables_for_Reference!$J$15:$J$21,Tables_for_Reference!$I$15:$I$21),IF(ESG!$E80="W",_xlfn.XLOOKUP(ESG!$G80,Tables_for_Reference!$J$15:$J$21,Tables_for_Reference!$H$15:$H$21),"Error"))</f>
        <v>16.255967907991529</v>
      </c>
      <c r="I80" s="135">
        <f>$D80/IF($E80="S",_xlfn.XLOOKUP($G80,Tables_for_Reference!$J$24:$J$29,Tables_for_Reference!$I$24:$I$29),IF(ESG!E80="W",_xlfn.XLOOKUP(ESG!G80,Tables_for_Reference!$J$24:$J$29,Tables_for_Reference!$H$24:$H$29),"Error"))</f>
        <v>23.077319197273759</v>
      </c>
    </row>
    <row r="81" spans="1:9" x14ac:dyDescent="0.2">
      <c r="A81" s="13" t="s">
        <v>279</v>
      </c>
      <c r="B81" s="14" t="s">
        <v>293</v>
      </c>
      <c r="C81" s="15" t="s">
        <v>528</v>
      </c>
      <c r="D81" s="73">
        <v>313508</v>
      </c>
      <c r="E81" s="74" t="s">
        <v>296</v>
      </c>
      <c r="F81" s="17" t="s">
        <v>295</v>
      </c>
      <c r="G81" s="18">
        <v>2024</v>
      </c>
      <c r="H81" s="135">
        <f>D81/IF(E81="S",_xlfn.XLOOKUP($G81,Tables_for_Reference!$J$15:$J$21,Tables_for_Reference!$I$15:$I$21),IF(ESG!$E81="W",_xlfn.XLOOKUP(ESG!$G81,Tables_for_Reference!$J$15:$J$21,Tables_for_Reference!$H$15:$H$21),"Error"))</f>
        <v>41.612098391864514</v>
      </c>
      <c r="I81" s="135">
        <f>$D81/IF($E81="S",_xlfn.XLOOKUP($G81,Tables_for_Reference!$J$24:$J$29,Tables_for_Reference!$I$24:$I$29),IF(ESG!E81="W",_xlfn.XLOOKUP(ESG!G81,Tables_for_Reference!$J$24:$J$29,Tables_for_Reference!$H$24:$H$29),"Error"))</f>
        <v>22.14025223078389</v>
      </c>
    </row>
    <row r="82" spans="1:9" x14ac:dyDescent="0.2">
      <c r="A82" s="13" t="s">
        <v>279</v>
      </c>
      <c r="B82" s="14" t="s">
        <v>293</v>
      </c>
      <c r="C82" s="15" t="s">
        <v>529</v>
      </c>
      <c r="D82" s="73">
        <v>344737</v>
      </c>
      <c r="E82" s="74" t="s">
        <v>526</v>
      </c>
      <c r="F82" s="17" t="s">
        <v>295</v>
      </c>
      <c r="G82" s="18">
        <v>2022</v>
      </c>
      <c r="H82" s="135">
        <f>D82/IF(E82="S",_xlfn.XLOOKUP($G82,Tables_for_Reference!$J$15:$J$21,Tables_for_Reference!$I$15:$I$21),IF(ESG!$E82="W",_xlfn.XLOOKUP(ESG!$G82,Tables_for_Reference!$J$15:$J$21,Tables_for_Reference!$H$15:$H$21),"Error"))</f>
        <v>16.21795686025451</v>
      </c>
      <c r="I82" s="135">
        <f>$D82/IF($E82="S",_xlfn.XLOOKUP($G82,Tables_for_Reference!$J$24:$J$29,Tables_for_Reference!$I$24:$I$29),IF(ESG!E82="W",_xlfn.XLOOKUP(ESG!G82,Tables_for_Reference!$J$24:$J$29,Tables_for_Reference!$H$24:$H$29),"Error"))</f>
        <v>43.86859920594523</v>
      </c>
    </row>
    <row r="83" spans="1:9" x14ac:dyDescent="0.2">
      <c r="A83" s="13" t="s">
        <v>279</v>
      </c>
      <c r="B83" s="14" t="s">
        <v>293</v>
      </c>
      <c r="C83" s="15" t="s">
        <v>541</v>
      </c>
      <c r="D83" s="73">
        <v>350287</v>
      </c>
      <c r="E83" s="74" t="s">
        <v>296</v>
      </c>
      <c r="F83" s="17" t="s">
        <v>295</v>
      </c>
      <c r="G83" s="18">
        <v>2019</v>
      </c>
      <c r="H83" s="135">
        <f>D83/IF(E83="S",_xlfn.XLOOKUP($G83,Tables_for_Reference!$J$15:$J$21,Tables_for_Reference!$I$15:$I$21),IF(ESG!$E83="W",_xlfn.XLOOKUP(ESG!$G83,Tables_for_Reference!$J$15:$J$21,Tables_for_Reference!$H$15:$H$21),"Error"))</f>
        <v>38.714301503094603</v>
      </c>
      <c r="I83" s="135">
        <f>$D83/IF($E83="S",_xlfn.XLOOKUP($G83,Tables_for_Reference!$J$24:$J$29,Tables_for_Reference!$I$24:$I$29),IF(ESG!E83="W",_xlfn.XLOOKUP(ESG!G83,Tables_for_Reference!$J$24:$J$29,Tables_for_Reference!$H$24:$H$29),"Error"))</f>
        <v>42.693976549740391</v>
      </c>
    </row>
    <row r="84" spans="1:9" x14ac:dyDescent="0.2">
      <c r="A84" s="13" t="s">
        <v>279</v>
      </c>
      <c r="B84" s="14" t="s">
        <v>293</v>
      </c>
      <c r="C84" s="15" t="s">
        <v>528</v>
      </c>
      <c r="D84" s="73">
        <v>370935</v>
      </c>
      <c r="E84" s="74" t="s">
        <v>296</v>
      </c>
      <c r="F84" s="17" t="s">
        <v>295</v>
      </c>
      <c r="G84" s="18">
        <v>2023</v>
      </c>
      <c r="H84" s="135">
        <f>D84/IF(E84="S",_xlfn.XLOOKUP($G84,Tables_for_Reference!$J$15:$J$21,Tables_for_Reference!$I$15:$I$21),IF(ESG!$E84="W",_xlfn.XLOOKUP(ESG!$G84,Tables_for_Reference!$J$15:$J$21,Tables_for_Reference!$H$15:$H$21),"Error"))</f>
        <v>32.90764726756565</v>
      </c>
      <c r="I84" s="135">
        <f>$D84/IF($E84="S",_xlfn.XLOOKUP($G84,Tables_for_Reference!$J$24:$J$29,Tables_for_Reference!$I$24:$I$29),IF(ESG!E84="W",_xlfn.XLOOKUP(ESG!G84,Tables_for_Reference!$J$24:$J$29,Tables_for_Reference!$H$24:$H$29),"Error"))</f>
        <v>39.585823444036542</v>
      </c>
    </row>
    <row r="85" spans="1:9" x14ac:dyDescent="0.2">
      <c r="A85" s="13" t="s">
        <v>279</v>
      </c>
      <c r="B85" s="14" t="s">
        <v>293</v>
      </c>
      <c r="C85" s="15" t="s">
        <v>541</v>
      </c>
      <c r="D85" s="73">
        <v>405801</v>
      </c>
      <c r="E85" s="74" t="s">
        <v>296</v>
      </c>
      <c r="F85" s="17" t="s">
        <v>295</v>
      </c>
      <c r="G85" s="18">
        <v>2020</v>
      </c>
      <c r="H85" s="135">
        <f>D85/IF(E85="S",_xlfn.XLOOKUP($G85,Tables_for_Reference!$J$15:$J$21,Tables_for_Reference!$I$15:$I$21),IF(ESG!$E85="W",_xlfn.XLOOKUP(ESG!$G85,Tables_for_Reference!$J$15:$J$21,Tables_for_Reference!$H$15:$H$21),"Error"))</f>
        <v>47.573388042203987</v>
      </c>
      <c r="I85" s="135">
        <f>$D85/IF($E85="S",_xlfn.XLOOKUP($G85,Tables_for_Reference!$J$24:$J$29,Tables_for_Reference!$I$24:$I$29),IF(ESG!E85="W",_xlfn.XLOOKUP(ESG!G85,Tables_for_Reference!$J$24:$J$29,Tables_for_Reference!$H$24:$H$29),"Error"))</f>
        <v>40.997454082560459</v>
      </c>
    </row>
    <row r="86" spans="1:9" x14ac:dyDescent="0.2">
      <c r="A86" s="13" t="s">
        <v>279</v>
      </c>
      <c r="B86" s="14" t="s">
        <v>293</v>
      </c>
      <c r="C86" s="15" t="s">
        <v>528</v>
      </c>
      <c r="D86" s="73">
        <v>426106</v>
      </c>
      <c r="E86" s="74" t="s">
        <v>296</v>
      </c>
      <c r="F86" s="17" t="s">
        <v>295</v>
      </c>
      <c r="G86" s="18">
        <v>2021</v>
      </c>
      <c r="H86" s="135">
        <f>D86/IF(E86="S",_xlfn.XLOOKUP($G86,Tables_for_Reference!$J$15:$J$21,Tables_for_Reference!$I$15:$I$21),IF(ESG!$E86="W",_xlfn.XLOOKUP(ESG!$G86,Tables_for_Reference!$J$15:$J$21,Tables_for_Reference!$H$15:$H$21),"Error"))</f>
        <v>42.159493420401702</v>
      </c>
      <c r="I86" s="135">
        <f>$D86/IF($E86="S",_xlfn.XLOOKUP($G86,Tables_for_Reference!$J$24:$J$29,Tables_for_Reference!$I$24:$I$29),IF(ESG!E86="W",_xlfn.XLOOKUP(ESG!G86,Tables_for_Reference!$J$24:$J$29,Tables_for_Reference!$H$24:$H$29),"Error"))</f>
        <v>34.108945367220329</v>
      </c>
    </row>
    <row r="87" spans="1:9" x14ac:dyDescent="0.2">
      <c r="A87" s="13" t="s">
        <v>279</v>
      </c>
      <c r="B87" s="14" t="s">
        <v>293</v>
      </c>
      <c r="C87" s="15" t="s">
        <v>528</v>
      </c>
      <c r="D87" s="73">
        <v>442038</v>
      </c>
      <c r="E87" s="74" t="s">
        <v>296</v>
      </c>
      <c r="F87" s="17" t="s">
        <v>295</v>
      </c>
      <c r="G87" s="18">
        <v>2020</v>
      </c>
      <c r="H87" s="135">
        <f>D87/IF(E87="S",_xlfn.XLOOKUP($G87,Tables_for_Reference!$J$15:$J$21,Tables_for_Reference!$I$15:$I$21),IF(ESG!$E87="W",_xlfn.XLOOKUP(ESG!$G87,Tables_for_Reference!$J$15:$J$21,Tables_for_Reference!$H$15:$H$21),"Error"))</f>
        <v>51.821570926143025</v>
      </c>
      <c r="I87" s="135">
        <f>$D87/IF($E87="S",_xlfn.XLOOKUP($G87,Tables_for_Reference!$J$24:$J$29,Tables_for_Reference!$I$24:$I$29),IF(ESG!E87="W",_xlfn.XLOOKUP(ESG!G87,Tables_for_Reference!$J$24:$J$29,Tables_for_Reference!$H$24:$H$29),"Error"))</f>
        <v>44.658422743529123</v>
      </c>
    </row>
    <row r="88" spans="1:9" x14ac:dyDescent="0.2">
      <c r="A88" s="13" t="s">
        <v>279</v>
      </c>
      <c r="B88" s="14" t="s">
        <v>293</v>
      </c>
      <c r="C88" s="15" t="s">
        <v>528</v>
      </c>
      <c r="D88" s="73">
        <v>452757</v>
      </c>
      <c r="E88" s="74" t="s">
        <v>296</v>
      </c>
      <c r="F88" s="17" t="s">
        <v>295</v>
      </c>
      <c r="G88" s="18">
        <v>2022</v>
      </c>
      <c r="H88" s="135">
        <f>D88/IF(E88="S",_xlfn.XLOOKUP($G88,Tables_for_Reference!$J$15:$J$21,Tables_for_Reference!$I$15:$I$21),IF(ESG!$E88="W",_xlfn.XLOOKUP(ESG!$G88,Tables_for_Reference!$J$15:$J$21,Tables_for_Reference!$H$15:$H$21),"Error"))</f>
        <v>35.330238002341005</v>
      </c>
      <c r="I88" s="135">
        <f>$D88/IF($E88="S",_xlfn.XLOOKUP($G88,Tables_for_Reference!$J$24:$J$29,Tables_for_Reference!$I$24:$I$29),IF(ESG!E88="W",_xlfn.XLOOKUP(ESG!G88,Tables_for_Reference!$J$24:$J$29,Tables_for_Reference!$H$24:$H$29),"Error"))</f>
        <v>50.390317195325544</v>
      </c>
    </row>
    <row r="89" spans="1:9" x14ac:dyDescent="0.2">
      <c r="A89" s="13" t="s">
        <v>279</v>
      </c>
      <c r="B89" s="14" t="s">
        <v>293</v>
      </c>
      <c r="C89" s="15" t="s">
        <v>541</v>
      </c>
      <c r="D89" s="73">
        <v>475022</v>
      </c>
      <c r="E89" s="74" t="s">
        <v>296</v>
      </c>
      <c r="F89" s="17" t="s">
        <v>295</v>
      </c>
      <c r="G89" s="18">
        <v>2021</v>
      </c>
      <c r="H89" s="135">
        <f>D89/IF(E89="S",_xlfn.XLOOKUP($G89,Tables_for_Reference!$J$15:$J$21,Tables_for_Reference!$I$15:$I$21),IF(ESG!$E89="W",_xlfn.XLOOKUP(ESG!$G89,Tables_for_Reference!$J$15:$J$21,Tables_for_Reference!$H$15:$H$21),"Error"))</f>
        <v>46.999307410705448</v>
      </c>
      <c r="I89" s="135">
        <f>$D89/IF($E89="S",_xlfn.XLOOKUP($G89,Tables_for_Reference!$J$24:$J$29,Tables_for_Reference!$I$24:$I$29),IF(ESG!E89="W",_xlfn.XLOOKUP(ESG!G89,Tables_for_Reference!$J$24:$J$29,Tables_for_Reference!$H$24:$H$29),"Error"))</f>
        <v>38.024574744846909</v>
      </c>
    </row>
    <row r="90" spans="1:9" x14ac:dyDescent="0.2">
      <c r="A90" s="13" t="s">
        <v>279</v>
      </c>
      <c r="B90" s="14" t="s">
        <v>293</v>
      </c>
      <c r="C90" s="15" t="s">
        <v>541</v>
      </c>
      <c r="D90" s="73">
        <v>478944</v>
      </c>
      <c r="E90" s="74" t="s">
        <v>296</v>
      </c>
      <c r="F90" s="17" t="s">
        <v>295</v>
      </c>
      <c r="G90" s="18">
        <v>2023</v>
      </c>
      <c r="H90" s="135">
        <f>D90/IF(E90="S",_xlfn.XLOOKUP($G90,Tables_for_Reference!$J$15:$J$21,Tables_for_Reference!$I$15:$I$21),IF(ESG!$E90="W",_xlfn.XLOOKUP(ESG!$G90,Tables_for_Reference!$J$15:$J$21,Tables_for_Reference!$H$15:$H$21),"Error"))</f>
        <v>42.489709013484742</v>
      </c>
      <c r="I90" s="135">
        <f>$D90/IF($E90="S",_xlfn.XLOOKUP($G90,Tables_for_Reference!$J$24:$J$29,Tables_for_Reference!$I$24:$I$29),IF(ESG!E90="W",_xlfn.XLOOKUP(ESG!G90,Tables_for_Reference!$J$24:$J$29,Tables_for_Reference!$H$24:$H$29),"Error"))</f>
        <v>51.112439170152825</v>
      </c>
    </row>
    <row r="91" spans="1:9" ht="26" x14ac:dyDescent="0.2">
      <c r="A91" s="13" t="s">
        <v>279</v>
      </c>
      <c r="B91" s="14" t="s">
        <v>280</v>
      </c>
      <c r="C91" s="15" t="s">
        <v>539</v>
      </c>
      <c r="D91" s="73">
        <v>479000</v>
      </c>
      <c r="E91" s="74" t="s">
        <v>296</v>
      </c>
      <c r="F91" s="17" t="s">
        <v>281</v>
      </c>
      <c r="G91" s="18">
        <v>2024</v>
      </c>
      <c r="H91" s="135">
        <f>D91/IF(E91="S",_xlfn.XLOOKUP($G91,Tables_for_Reference!$J$15:$J$21,Tables_for_Reference!$I$15:$I$21),IF(ESG!$E91="W",_xlfn.XLOOKUP(ESG!$G91,Tables_for_Reference!$J$15:$J$21,Tables_for_Reference!$H$15:$H$21),"Error"))</f>
        <v>63.577947387955341</v>
      </c>
      <c r="I91" s="135">
        <f>$D91/IF($E91="S",_xlfn.XLOOKUP($G91,Tables_for_Reference!$J$24:$J$29,Tables_for_Reference!$I$24:$I$29),IF(ESG!E91="W",_xlfn.XLOOKUP(ESG!G91,Tables_for_Reference!$J$24:$J$29,Tables_for_Reference!$H$24:$H$29),"Error"))</f>
        <v>33.827464749051011</v>
      </c>
    </row>
    <row r="92" spans="1:9" x14ac:dyDescent="0.2">
      <c r="A92" s="13" t="s">
        <v>279</v>
      </c>
      <c r="B92" s="14" t="s">
        <v>293</v>
      </c>
      <c r="C92" s="15" t="s">
        <v>541</v>
      </c>
      <c r="D92" s="73">
        <v>488476</v>
      </c>
      <c r="E92" s="74" t="s">
        <v>296</v>
      </c>
      <c r="F92" s="17" t="s">
        <v>295</v>
      </c>
      <c r="G92" s="18">
        <v>2022</v>
      </c>
      <c r="H92" s="135">
        <f>D92/IF(E92="S",_xlfn.XLOOKUP($G92,Tables_for_Reference!$J$15:$J$21,Tables_for_Reference!$I$15:$I$21),IF(ESG!$E92="W",_xlfn.XLOOKUP(ESG!$G92,Tables_for_Reference!$J$15:$J$21,Tables_for_Reference!$H$15:$H$21),"Error"))</f>
        <v>38.117518532969179</v>
      </c>
      <c r="I92" s="135">
        <f>$D92/IF($E92="S",_xlfn.XLOOKUP($G92,Tables_for_Reference!$J$24:$J$29,Tables_for_Reference!$I$24:$I$29),IF(ESG!E92="W",_xlfn.XLOOKUP(ESG!G92,Tables_for_Reference!$J$24:$J$29,Tables_for_Reference!$H$24:$H$29),"Error"))</f>
        <v>54.365720645520312</v>
      </c>
    </row>
    <row r="93" spans="1:9" ht="26" x14ac:dyDescent="0.2">
      <c r="A93" s="13" t="s">
        <v>279</v>
      </c>
      <c r="B93" s="14" t="s">
        <v>280</v>
      </c>
      <c r="C93" s="15" t="s">
        <v>539</v>
      </c>
      <c r="D93" s="73">
        <v>508000</v>
      </c>
      <c r="E93" s="74" t="s">
        <v>296</v>
      </c>
      <c r="F93" s="17" t="s">
        <v>281</v>
      </c>
      <c r="G93" s="18">
        <v>2022</v>
      </c>
      <c r="H93" s="135">
        <f>D93/IF(E93="S",_xlfn.XLOOKUP($G93,Tables_for_Reference!$J$15:$J$21,Tables_for_Reference!$I$15:$I$21),IF(ESG!$E93="W",_xlfn.XLOOKUP(ESG!$G93,Tables_for_Reference!$J$15:$J$21,Tables_for_Reference!$H$15:$H$21),"Error"))</f>
        <v>39.641045649629341</v>
      </c>
      <c r="I93" s="135">
        <f>$D93/IF($E93="S",_xlfn.XLOOKUP($G93,Tables_for_Reference!$J$24:$J$29,Tables_for_Reference!$I$24:$I$29),IF(ESG!E93="W",_xlfn.XLOOKUP(ESG!G93,Tables_for_Reference!$J$24:$J$29,Tables_for_Reference!$H$24:$H$29),"Error"))</f>
        <v>56.5386755703951</v>
      </c>
    </row>
    <row r="94" spans="1:9" x14ac:dyDescent="0.2">
      <c r="A94" s="13" t="s">
        <v>279</v>
      </c>
      <c r="B94" s="14" t="s">
        <v>293</v>
      </c>
      <c r="C94" s="15" t="s">
        <v>541</v>
      </c>
      <c r="D94" s="73">
        <v>516174</v>
      </c>
      <c r="E94" s="74" t="s">
        <v>296</v>
      </c>
      <c r="F94" s="17" t="s">
        <v>295</v>
      </c>
      <c r="G94" s="18">
        <v>2024</v>
      </c>
      <c r="H94" s="135">
        <f>D94/IF(E94="S",_xlfn.XLOOKUP($G94,Tables_for_Reference!$J$15:$J$21,Tables_for_Reference!$I$15:$I$21),IF(ESG!$E94="W",_xlfn.XLOOKUP(ESG!$G94,Tables_for_Reference!$J$15:$J$21,Tables_for_Reference!$H$15:$H$21),"Error"))</f>
        <v>68.512073935345427</v>
      </c>
      <c r="I94" s="135">
        <f>$D94/IF($E94="S",_xlfn.XLOOKUP($G94,Tables_for_Reference!$J$24:$J$29,Tables_for_Reference!$I$24:$I$29),IF(ESG!E94="W",_xlfn.XLOOKUP(ESG!G94,Tables_for_Reference!$J$24:$J$29,Tables_for_Reference!$H$24:$H$29),"Error"))</f>
        <v>36.452730249220579</v>
      </c>
    </row>
    <row r="95" spans="1:9" x14ac:dyDescent="0.2">
      <c r="A95" s="13" t="s">
        <v>279</v>
      </c>
      <c r="B95" s="14" t="s">
        <v>293</v>
      </c>
      <c r="C95" s="15" t="s">
        <v>528</v>
      </c>
      <c r="D95" s="73">
        <v>539450</v>
      </c>
      <c r="E95" s="74" t="s">
        <v>296</v>
      </c>
      <c r="F95" s="17" t="s">
        <v>295</v>
      </c>
      <c r="G95" s="18">
        <v>2019</v>
      </c>
      <c r="H95" s="135">
        <f>D95/IF(E95="S",_xlfn.XLOOKUP($G95,Tables_for_Reference!$J$15:$J$21,Tables_for_Reference!$I$15:$I$21),IF(ESG!$E95="W",_xlfn.XLOOKUP(ESG!$G95,Tables_for_Reference!$J$15:$J$21,Tables_for_Reference!$H$15:$H$21),"Error"))</f>
        <v>59.620910698496907</v>
      </c>
      <c r="I95" s="135">
        <f>$D95/IF($E95="S",_xlfn.XLOOKUP($G95,Tables_for_Reference!$J$24:$J$29,Tables_for_Reference!$I$24:$I$29),IF(ESG!E95="W",_xlfn.XLOOKUP(ESG!G95,Tables_for_Reference!$J$24:$J$29,Tables_for_Reference!$H$24:$H$29),"Error"))</f>
        <v>65.749701387026789</v>
      </c>
    </row>
    <row r="96" spans="1:9" ht="26" x14ac:dyDescent="0.2">
      <c r="A96" s="13" t="s">
        <v>279</v>
      </c>
      <c r="B96" s="14" t="s">
        <v>280</v>
      </c>
      <c r="C96" s="15" t="s">
        <v>539</v>
      </c>
      <c r="D96" s="73">
        <v>553000</v>
      </c>
      <c r="E96" s="74" t="s">
        <v>296</v>
      </c>
      <c r="F96" s="17" t="s">
        <v>281</v>
      </c>
      <c r="G96" s="18">
        <v>2021</v>
      </c>
      <c r="H96" s="135">
        <f>D96/IF(E96="S",_xlfn.XLOOKUP($G96,Tables_for_Reference!$J$15:$J$21,Tables_for_Reference!$I$15:$I$21),IF(ESG!$E96="W",_xlfn.XLOOKUP(ESG!$G96,Tables_for_Reference!$J$15:$J$21,Tables_for_Reference!$H$15:$H$21),"Error"))</f>
        <v>54.714554269318292</v>
      </c>
      <c r="I96" s="135">
        <f>$D96/IF($E96="S",_xlfn.XLOOKUP($G96,Tables_for_Reference!$J$24:$J$29,Tables_for_Reference!$I$24:$I$29),IF(ESG!E96="W",_xlfn.XLOOKUP(ESG!G96,Tables_for_Reference!$J$24:$J$29,Tables_for_Reference!$H$24:$H$29),"Error"))</f>
        <v>44.266559935961574</v>
      </c>
    </row>
    <row r="97" spans="1:9" ht="26" x14ac:dyDescent="0.2">
      <c r="A97" s="13" t="s">
        <v>279</v>
      </c>
      <c r="B97" s="14" t="s">
        <v>280</v>
      </c>
      <c r="C97" s="15" t="s">
        <v>539</v>
      </c>
      <c r="D97" s="73">
        <v>566000</v>
      </c>
      <c r="E97" s="74" t="s">
        <v>296</v>
      </c>
      <c r="F97" s="17" t="s">
        <v>281</v>
      </c>
      <c r="G97" s="18">
        <v>2020</v>
      </c>
      <c r="H97" s="135">
        <f>D97/IF(E97="S",_xlfn.XLOOKUP($G97,Tables_for_Reference!$J$15:$J$21,Tables_for_Reference!$I$15:$I$21),IF(ESG!$E97="W",_xlfn.XLOOKUP(ESG!$G97,Tables_for_Reference!$J$15:$J$21,Tables_for_Reference!$H$15:$H$21),"Error"))</f>
        <v>66.354044548651814</v>
      </c>
      <c r="I97" s="135">
        <f>$D97/IF($E97="S",_xlfn.XLOOKUP($G97,Tables_for_Reference!$J$24:$J$29,Tables_for_Reference!$I$24:$I$29),IF(ESG!E97="W",_xlfn.XLOOKUP(ESG!G97,Tables_for_Reference!$J$24:$J$29,Tables_for_Reference!$H$24:$H$29),"Error"))</f>
        <v>57.182113919702566</v>
      </c>
    </row>
    <row r="98" spans="1:9" x14ac:dyDescent="0.2">
      <c r="A98" s="13" t="s">
        <v>279</v>
      </c>
      <c r="B98" s="14" t="s">
        <v>293</v>
      </c>
      <c r="C98" s="15" t="s">
        <v>528</v>
      </c>
      <c r="D98" s="73">
        <v>594211</v>
      </c>
      <c r="E98" s="74" t="s">
        <v>526</v>
      </c>
      <c r="F98" s="17" t="s">
        <v>295</v>
      </c>
      <c r="G98" s="18">
        <v>2024</v>
      </c>
      <c r="H98" s="135">
        <f>D98/IF(E98="S",_xlfn.XLOOKUP($G98,Tables_for_Reference!$J$15:$J$21,Tables_for_Reference!$I$15:$I$21),IF(ESG!$E98="W",_xlfn.XLOOKUP(ESG!$G98,Tables_for_Reference!$J$15:$J$21,Tables_for_Reference!$H$15:$H$21),"Error"))</f>
        <v>43.772639260349884</v>
      </c>
      <c r="I98" s="135">
        <f>$D98/IF($E98="S",_xlfn.XLOOKUP($G98,Tables_for_Reference!$J$24:$J$29,Tables_for_Reference!$I$24:$I$29),IF(ESG!E98="W",_xlfn.XLOOKUP(ESG!G98,Tables_for_Reference!$J$24:$J$29,Tables_for_Reference!$H$24:$H$29),"Error"))</f>
        <v>42.83834192661989</v>
      </c>
    </row>
    <row r="99" spans="1:9" x14ac:dyDescent="0.2">
      <c r="A99" s="13" t="s">
        <v>279</v>
      </c>
      <c r="B99" s="14" t="s">
        <v>293</v>
      </c>
      <c r="C99" s="15" t="s">
        <v>528</v>
      </c>
      <c r="D99" s="73">
        <v>708378</v>
      </c>
      <c r="E99" s="74" t="s">
        <v>526</v>
      </c>
      <c r="F99" s="17" t="s">
        <v>295</v>
      </c>
      <c r="G99" s="18">
        <v>2023</v>
      </c>
      <c r="H99" s="135">
        <f>D99/IF(E99="S",_xlfn.XLOOKUP($G99,Tables_for_Reference!$J$15:$J$21,Tables_for_Reference!$I$15:$I$21),IF(ESG!$E99="W",_xlfn.XLOOKUP(ESG!$G99,Tables_for_Reference!$J$15:$J$21,Tables_for_Reference!$H$15:$H$21),"Error"))</f>
        <v>34.878286558345643</v>
      </c>
      <c r="I99" s="135">
        <f>$D99/IF($E99="S",_xlfn.XLOOKUP($G99,Tables_for_Reference!$J$24:$J$29,Tables_for_Reference!$I$24:$I$29),IF(ESG!E99="W",_xlfn.XLOOKUP(ESG!G99,Tables_for_Reference!$J$24:$J$29,Tables_for_Reference!$H$24:$H$29),"Error"))</f>
        <v>77.172925450207529</v>
      </c>
    </row>
    <row r="100" spans="1:9" x14ac:dyDescent="0.2">
      <c r="A100" s="13" t="s">
        <v>279</v>
      </c>
      <c r="B100" s="14" t="s">
        <v>293</v>
      </c>
      <c r="C100" s="15" t="s">
        <v>528</v>
      </c>
      <c r="D100" s="73">
        <v>757323</v>
      </c>
      <c r="E100" s="74" t="s">
        <v>526</v>
      </c>
      <c r="F100" s="17" t="s">
        <v>295</v>
      </c>
      <c r="G100" s="18">
        <v>2021</v>
      </c>
      <c r="H100" s="135">
        <f>D100/IF(E100="S",_xlfn.XLOOKUP($G100,Tables_for_Reference!$J$15:$J$21,Tables_for_Reference!$I$15:$I$21),IF(ESG!$E100="W",_xlfn.XLOOKUP(ESG!$G100,Tables_for_Reference!$J$15:$J$21,Tables_for_Reference!$H$15:$H$21),"Error"))</f>
        <v>40.398962984300738</v>
      </c>
      <c r="I100" s="135">
        <f>$D100/IF($E100="S",_xlfn.XLOOKUP($G100,Tables_for_Reference!$J$24:$J$29,Tables_for_Reference!$I$24:$I$29),IF(ESG!E100="W",_xlfn.XLOOKUP(ESG!G100,Tables_for_Reference!$J$24:$J$29,Tables_for_Reference!$H$24:$H$29),"Error"))</f>
        <v>57.351230594471794</v>
      </c>
    </row>
    <row r="101" spans="1:9" x14ac:dyDescent="0.2">
      <c r="A101" s="13" t="s">
        <v>279</v>
      </c>
      <c r="B101" s="14" t="s">
        <v>293</v>
      </c>
      <c r="C101" s="15" t="s">
        <v>528</v>
      </c>
      <c r="D101" s="73">
        <v>774097</v>
      </c>
      <c r="E101" s="74" t="s">
        <v>526</v>
      </c>
      <c r="F101" s="17" t="s">
        <v>295</v>
      </c>
      <c r="G101" s="18">
        <v>2022</v>
      </c>
      <c r="H101" s="135">
        <f>D101/IF(E101="S",_xlfn.XLOOKUP($G101,Tables_for_Reference!$J$15:$J$21,Tables_for_Reference!$I$15:$I$21),IF(ESG!$E101="W",_xlfn.XLOOKUP(ESG!$G101,Tables_for_Reference!$J$15:$J$21,Tables_for_Reference!$H$15:$H$21),"Error"))</f>
        <v>36.416954813821654</v>
      </c>
      <c r="I101" s="135">
        <f>$D101/IF($E101="S",_xlfn.XLOOKUP($G101,Tables_for_Reference!$J$24:$J$29,Tables_for_Reference!$I$24:$I$29),IF(ESG!E101="W",_xlfn.XLOOKUP(ESG!G101,Tables_for_Reference!$J$24:$J$29,Tables_for_Reference!$H$24:$H$29),"Error"))</f>
        <v>98.505675455563477</v>
      </c>
    </row>
    <row r="102" spans="1:9" ht="26" x14ac:dyDescent="0.2">
      <c r="A102" s="13" t="s">
        <v>279</v>
      </c>
      <c r="B102" s="14" t="s">
        <v>280</v>
      </c>
      <c r="C102" s="15" t="s">
        <v>539</v>
      </c>
      <c r="D102" s="73">
        <v>808000</v>
      </c>
      <c r="E102" s="74" t="s">
        <v>296</v>
      </c>
      <c r="F102" s="17" t="s">
        <v>281</v>
      </c>
      <c r="G102" s="18">
        <v>2019</v>
      </c>
      <c r="H102" s="135">
        <f>D102/IF(E102="S",_xlfn.XLOOKUP($G102,Tables_for_Reference!$J$15:$J$21,Tables_for_Reference!$I$15:$I$21),IF(ESG!$E102="W",_xlfn.XLOOKUP(ESG!$G102,Tables_for_Reference!$J$15:$J$21,Tables_for_Reference!$H$15:$H$21),"Error"))</f>
        <v>89.301503094606545</v>
      </c>
      <c r="I102" s="135">
        <f>$D102/IF($E102="S",_xlfn.XLOOKUP($G102,Tables_for_Reference!$J$24:$J$29,Tables_for_Reference!$I$24:$I$29),IF(ESG!E102="W",_xlfn.XLOOKUP(ESG!G102,Tables_for_Reference!$J$24:$J$29,Tables_for_Reference!$H$24:$H$29),"Error"))</f>
        <v>98.481339736245516</v>
      </c>
    </row>
    <row r="103" spans="1:9" x14ac:dyDescent="0.2">
      <c r="A103" s="13" t="s">
        <v>279</v>
      </c>
      <c r="B103" s="14" t="s">
        <v>293</v>
      </c>
      <c r="C103" s="15" t="s">
        <v>528</v>
      </c>
      <c r="D103" s="73">
        <v>899709</v>
      </c>
      <c r="E103" s="74" t="s">
        <v>526</v>
      </c>
      <c r="F103" s="17" t="s">
        <v>295</v>
      </c>
      <c r="G103" s="18">
        <v>2020</v>
      </c>
      <c r="H103" s="135">
        <f>D103/IF(E103="S",_xlfn.XLOOKUP($G103,Tables_for_Reference!$J$15:$J$21,Tables_for_Reference!$I$15:$I$21),IF(ESG!$E103="W",_xlfn.XLOOKUP(ESG!$G103,Tables_for_Reference!$J$15:$J$21,Tables_for_Reference!$H$15:$H$21),"Error"))</f>
        <v>51.181479964502699</v>
      </c>
      <c r="I103" s="135">
        <f>$D103/IF($E103="S",_xlfn.XLOOKUP($G103,Tables_for_Reference!$J$24:$J$29,Tables_for_Reference!$I$24:$I$29),IF(ESG!E103="W",_xlfn.XLOOKUP(ESG!G103,Tables_for_Reference!$J$24:$J$29,Tables_for_Reference!$H$24:$H$29),"Error"))</f>
        <v>99.456020693543223</v>
      </c>
    </row>
    <row r="104" spans="1:9" x14ac:dyDescent="0.2">
      <c r="A104" s="13" t="s">
        <v>279</v>
      </c>
      <c r="B104" s="14" t="s">
        <v>293</v>
      </c>
      <c r="C104" s="15" t="s">
        <v>528</v>
      </c>
      <c r="D104" s="73">
        <v>913541</v>
      </c>
      <c r="E104" s="74" t="s">
        <v>526</v>
      </c>
      <c r="F104" s="17" t="s">
        <v>295</v>
      </c>
      <c r="G104" s="18">
        <v>2019</v>
      </c>
      <c r="H104" s="135">
        <f>D104/IF(E104="S",_xlfn.XLOOKUP($G104,Tables_for_Reference!$J$15:$J$21,Tables_for_Reference!$I$15:$I$21),IF(ESG!$E104="W",_xlfn.XLOOKUP(ESG!$G104,Tables_for_Reference!$J$15:$J$21,Tables_for_Reference!$H$15:$H$21),"Error"))</f>
        <v>49.950297993329322</v>
      </c>
      <c r="I104" s="135">
        <f>$D104/IF($E104="S",_xlfn.XLOOKUP($G104,Tables_for_Reference!$J$24:$J$29,Tables_for_Reference!$I$24:$I$29),IF(ESG!E104="W",_xlfn.XLOOKUP(ESG!G104,Tables_for_Reference!$J$24:$J$29,Tables_for_Reference!$H$24:$H$29),"Error"))</f>
        <v>97.218308360292866</v>
      </c>
    </row>
    <row r="105" spans="1:9" ht="26" x14ac:dyDescent="0.2">
      <c r="A105" s="13" t="s">
        <v>279</v>
      </c>
      <c r="B105" s="14" t="s">
        <v>280</v>
      </c>
      <c r="C105" s="15" t="s">
        <v>539</v>
      </c>
      <c r="D105" s="73">
        <v>1684000</v>
      </c>
      <c r="E105" s="74" t="s">
        <v>526</v>
      </c>
      <c r="F105" s="17" t="s">
        <v>281</v>
      </c>
      <c r="G105" s="18">
        <v>2023</v>
      </c>
      <c r="H105" s="135">
        <f>D105/IF(E105="S",_xlfn.XLOOKUP($G105,Tables_for_Reference!$J$15:$J$21,Tables_for_Reference!$I$15:$I$21),IF(ESG!$E105="W",_xlfn.XLOOKUP(ESG!$G105,Tables_for_Reference!$J$15:$J$21,Tables_for_Reference!$H$15:$H$21),"Error"))</f>
        <v>82.914820285573612</v>
      </c>
      <c r="I105" s="135">
        <f>$D105/IF($E105="S",_xlfn.XLOOKUP($G105,Tables_for_Reference!$J$24:$J$29,Tables_for_Reference!$I$24:$I$29),IF(ESG!E105="W",_xlfn.XLOOKUP(ESG!G105,Tables_for_Reference!$J$24:$J$29,Tables_for_Reference!$H$24:$H$29),"Error"))</f>
        <v>183.46025209443192</v>
      </c>
    </row>
    <row r="106" spans="1:9" ht="26" x14ac:dyDescent="0.2">
      <c r="A106" s="13" t="s">
        <v>279</v>
      </c>
      <c r="B106" s="14" t="s">
        <v>280</v>
      </c>
      <c r="C106" s="15" t="s">
        <v>539</v>
      </c>
      <c r="D106" s="73">
        <v>1885216</v>
      </c>
      <c r="E106" s="74" t="s">
        <v>526</v>
      </c>
      <c r="F106" s="17" t="s">
        <v>281</v>
      </c>
      <c r="G106" s="18">
        <v>2022</v>
      </c>
      <c r="H106" s="135">
        <f>D106/IF(E106="S",_xlfn.XLOOKUP($G106,Tables_for_Reference!$J$15:$J$21,Tables_for_Reference!$I$15:$I$21),IF(ESG!$E106="W",_xlfn.XLOOKUP(ESG!$G106,Tables_for_Reference!$J$15:$J$21,Tables_for_Reference!$H$15:$H$21),"Error"))</f>
        <v>88.688918683696755</v>
      </c>
      <c r="I106" s="135">
        <f>$D106/IF($E106="S",_xlfn.XLOOKUP($G106,Tables_for_Reference!$J$24:$J$29,Tables_for_Reference!$I$24:$I$29),IF(ESG!E106="W",_xlfn.XLOOKUP(ESG!G106,Tables_for_Reference!$J$24:$J$29,Tables_for_Reference!$H$24:$H$29),"Error"))</f>
        <v>239.89819810648478</v>
      </c>
    </row>
    <row r="107" spans="1:9" ht="26" x14ac:dyDescent="0.2">
      <c r="A107" s="13" t="s">
        <v>279</v>
      </c>
      <c r="B107" s="14" t="s">
        <v>280</v>
      </c>
      <c r="C107" s="15" t="s">
        <v>539</v>
      </c>
      <c r="D107" s="73">
        <v>2087017</v>
      </c>
      <c r="E107" s="74" t="s">
        <v>526</v>
      </c>
      <c r="F107" s="17" t="s">
        <v>281</v>
      </c>
      <c r="G107" s="18">
        <v>2021</v>
      </c>
      <c r="H107" s="135">
        <f>D107/IF(E107="S",_xlfn.XLOOKUP($G107,Tables_for_Reference!$J$15:$J$21,Tables_for_Reference!$I$15:$I$21),IF(ESG!$E107="W",_xlfn.XLOOKUP(ESG!$G107,Tables_for_Reference!$J$15:$J$21,Tables_for_Reference!$H$15:$H$21),"Error"))</f>
        <v>111.33073012519938</v>
      </c>
      <c r="I107" s="135">
        <f>$D107/IF($E107="S",_xlfn.XLOOKUP($G107,Tables_for_Reference!$J$24:$J$29,Tables_for_Reference!$I$24:$I$29),IF(ESG!E107="W",_xlfn.XLOOKUP(ESG!G107,Tables_for_Reference!$J$24:$J$29,Tables_for_Reference!$H$24:$H$29),"Error"))</f>
        <v>158.04748201438849</v>
      </c>
    </row>
    <row r="108" spans="1:9" ht="26" x14ac:dyDescent="0.2">
      <c r="A108" s="13" t="s">
        <v>279</v>
      </c>
      <c r="B108" s="14" t="s">
        <v>280</v>
      </c>
      <c r="C108" s="15" t="s">
        <v>539</v>
      </c>
      <c r="D108" s="73">
        <v>2172374</v>
      </c>
      <c r="E108" s="74" t="s">
        <v>526</v>
      </c>
      <c r="F108" s="17" t="s">
        <v>281</v>
      </c>
      <c r="G108" s="18">
        <v>2020</v>
      </c>
      <c r="H108" s="135">
        <f>D108/IF(E108="S",_xlfn.XLOOKUP($G108,Tables_for_Reference!$J$15:$J$21,Tables_for_Reference!$I$15:$I$21),IF(ESG!$E108="W",_xlfn.XLOOKUP(ESG!$G108,Tables_for_Reference!$J$15:$J$21,Tables_for_Reference!$H$15:$H$21),"Error"))</f>
        <v>123.57919766992059</v>
      </c>
      <c r="I108" s="135">
        <f>$D108/IF($E108="S",_xlfn.XLOOKUP($G108,Tables_for_Reference!$J$24:$J$29,Tables_for_Reference!$I$24:$I$29),IF(ESG!E108="W",_xlfn.XLOOKUP(ESG!G108,Tables_for_Reference!$J$24:$J$29,Tables_for_Reference!$H$24:$H$29),"Error"))</f>
        <v>240.13950454882109</v>
      </c>
    </row>
    <row r="109" spans="1:9" ht="26" x14ac:dyDescent="0.2">
      <c r="A109" s="13" t="s">
        <v>279</v>
      </c>
      <c r="B109" s="22" t="s">
        <v>280</v>
      </c>
      <c r="C109" s="23" t="s">
        <v>538</v>
      </c>
      <c r="D109" s="73">
        <v>2326787</v>
      </c>
      <c r="E109" s="74" t="s">
        <v>526</v>
      </c>
      <c r="F109" s="24" t="s">
        <v>281</v>
      </c>
      <c r="G109" s="18">
        <v>2023</v>
      </c>
      <c r="H109" s="135">
        <f>D109/IF(E109="S",_xlfn.XLOOKUP($G109,Tables_for_Reference!$J$15:$J$21,Tables_for_Reference!$I$15:$I$21),IF(ESG!$E109="W",_xlfn.XLOOKUP(ESG!$G109,Tables_for_Reference!$J$15:$J$21,Tables_for_Reference!$H$15:$H$21),"Error"))</f>
        <v>114.56361398325947</v>
      </c>
      <c r="I109" s="135">
        <f>$D109/IF($E109="S",_xlfn.XLOOKUP($G109,Tables_for_Reference!$J$24:$J$29,Tables_for_Reference!$I$24:$I$29),IF(ESG!E109="W",_xlfn.XLOOKUP(ESG!G109,Tables_for_Reference!$J$24:$J$29,Tables_for_Reference!$H$24:$H$29),"Error"))</f>
        <v>253.48748788007538</v>
      </c>
    </row>
    <row r="110" spans="1:9" x14ac:dyDescent="0.2">
      <c r="A110" s="13" t="s">
        <v>279</v>
      </c>
      <c r="B110" s="14" t="s">
        <v>280</v>
      </c>
      <c r="C110" s="15" t="s">
        <v>540</v>
      </c>
      <c r="D110" s="73">
        <v>2415000</v>
      </c>
      <c r="E110" s="74" t="s">
        <v>296</v>
      </c>
      <c r="F110" s="17" t="s">
        <v>281</v>
      </c>
      <c r="G110" s="18">
        <v>2023</v>
      </c>
      <c r="H110" s="135">
        <f>D110/IF(E110="S",_xlfn.XLOOKUP($G110,Tables_for_Reference!$J$15:$J$21,Tables_for_Reference!$I$15:$I$21),IF(ESG!$E110="W",_xlfn.XLOOKUP(ESG!$G110,Tables_for_Reference!$J$15:$J$21,Tables_for_Reference!$H$15:$H$21),"Error"))</f>
        <v>214.24769339957416</v>
      </c>
      <c r="I110" s="135">
        <f>$D110/IF($E110="S",_xlfn.XLOOKUP($G110,Tables_for_Reference!$J$24:$J$29,Tables_for_Reference!$I$24:$I$29),IF(ESG!E110="W",_xlfn.XLOOKUP(ESG!G110,Tables_for_Reference!$J$24:$J$29,Tables_for_Reference!$H$24:$H$29),"Error"))</f>
        <v>257.72645778195169</v>
      </c>
    </row>
    <row r="111" spans="1:9" x14ac:dyDescent="0.2">
      <c r="A111" s="13" t="s">
        <v>279</v>
      </c>
      <c r="B111" s="14" t="s">
        <v>280</v>
      </c>
      <c r="C111" s="15" t="s">
        <v>540</v>
      </c>
      <c r="D111" s="73">
        <v>2473000</v>
      </c>
      <c r="E111" s="74" t="s">
        <v>296</v>
      </c>
      <c r="F111" s="17" t="s">
        <v>281</v>
      </c>
      <c r="G111" s="18">
        <v>2024</v>
      </c>
      <c r="H111" s="135">
        <f>D111/IF(E111="S",_xlfn.XLOOKUP($G111,Tables_for_Reference!$J$15:$J$21,Tables_for_Reference!$I$15:$I$21),IF(ESG!$E111="W",_xlfn.XLOOKUP(ESG!$G111,Tables_for_Reference!$J$15:$J$21,Tables_for_Reference!$H$15:$H$21),"Error"))</f>
        <v>328.24272210942286</v>
      </c>
      <c r="I111" s="135">
        <f>$D111/IF($E111="S",_xlfn.XLOOKUP($G111,Tables_for_Reference!$J$24:$J$29,Tables_for_Reference!$I$24:$I$29),IF(ESG!E111="W",_xlfn.XLOOKUP(ESG!G111,Tables_for_Reference!$J$24:$J$29,Tables_for_Reference!$H$24:$H$29),"Error"))</f>
        <v>174.64576268142619</v>
      </c>
    </row>
    <row r="112" spans="1:9" x14ac:dyDescent="0.2">
      <c r="A112" s="13" t="s">
        <v>279</v>
      </c>
      <c r="B112" s="14" t="s">
        <v>280</v>
      </c>
      <c r="C112" s="15" t="s">
        <v>540</v>
      </c>
      <c r="D112" s="73">
        <v>2500000</v>
      </c>
      <c r="E112" s="74" t="s">
        <v>296</v>
      </c>
      <c r="F112" s="17" t="s">
        <v>281</v>
      </c>
      <c r="G112" s="18">
        <v>2021</v>
      </c>
      <c r="H112" s="135">
        <f>D112/IF(E112="S",_xlfn.XLOOKUP($G112,Tables_for_Reference!$J$15:$J$21,Tables_for_Reference!$I$15:$I$21),IF(ESG!$E112="W",_xlfn.XLOOKUP(ESG!$G112,Tables_for_Reference!$J$15:$J$21,Tables_for_Reference!$H$15:$H$21),"Error"))</f>
        <v>247.35331948154743</v>
      </c>
      <c r="I112" s="135">
        <f>$D112/IF($E112="S",_xlfn.XLOOKUP($G112,Tables_for_Reference!$J$24:$J$29,Tables_for_Reference!$I$24:$I$29),IF(ESG!E112="W",_xlfn.XLOOKUP(ESG!G112,Tables_for_Reference!$J$24:$J$29,Tables_for_Reference!$H$24:$H$29),"Error"))</f>
        <v>200.12007204322595</v>
      </c>
    </row>
    <row r="113" spans="1:9" x14ac:dyDescent="0.2">
      <c r="A113" s="13" t="s">
        <v>279</v>
      </c>
      <c r="B113" s="14" t="s">
        <v>280</v>
      </c>
      <c r="C113" s="15" t="s">
        <v>540</v>
      </c>
      <c r="D113" s="73">
        <v>2513000</v>
      </c>
      <c r="E113" s="74" t="s">
        <v>296</v>
      </c>
      <c r="F113" s="17" t="s">
        <v>281</v>
      </c>
      <c r="G113" s="18">
        <v>2019</v>
      </c>
      <c r="H113" s="135">
        <f>D113/IF(E113="S",_xlfn.XLOOKUP($G113,Tables_for_Reference!$J$15:$J$21,Tables_for_Reference!$I$15:$I$21),IF(ESG!$E113="W",_xlfn.XLOOKUP(ESG!$G113,Tables_for_Reference!$J$15:$J$21,Tables_for_Reference!$H$15:$H$21),"Error"))</f>
        <v>277.74093722369582</v>
      </c>
      <c r="I113" s="135">
        <f>$D113/IF($E113="S",_xlfn.XLOOKUP($G113,Tables_for_Reference!$J$24:$J$29,Tables_for_Reference!$I$24:$I$29),IF(ESG!E113="W",_xlfn.XLOOKUP(ESG!G113,Tables_for_Reference!$J$24:$J$29,Tables_for_Reference!$H$24:$H$29),"Error"))</f>
        <v>306.29159252126857</v>
      </c>
    </row>
    <row r="114" spans="1:9" x14ac:dyDescent="0.2">
      <c r="A114" s="13" t="s">
        <v>279</v>
      </c>
      <c r="B114" s="14" t="s">
        <v>280</v>
      </c>
      <c r="C114" s="15" t="s">
        <v>540</v>
      </c>
      <c r="D114" s="73">
        <v>2541000</v>
      </c>
      <c r="E114" s="74" t="s">
        <v>296</v>
      </c>
      <c r="F114" s="17" t="s">
        <v>281</v>
      </c>
      <c r="G114" s="18">
        <v>2022</v>
      </c>
      <c r="H114" s="135">
        <f>D114/IF(E114="S",_xlfn.XLOOKUP($G114,Tables_for_Reference!$J$15:$J$21,Tables_for_Reference!$I$15:$I$21),IF(ESG!$E114="W",_xlfn.XLOOKUP(ESG!$G114,Tables_for_Reference!$J$15:$J$21,Tables_for_Reference!$H$15:$H$21),"Error"))</f>
        <v>198.28326180257511</v>
      </c>
      <c r="I114" s="135">
        <f>$D114/IF($E114="S",_xlfn.XLOOKUP($G114,Tables_for_Reference!$J$24:$J$29,Tables_for_Reference!$I$24:$I$29),IF(ESG!E114="W",_xlfn.XLOOKUP(ESG!G114,Tables_for_Reference!$J$24:$J$29,Tables_for_Reference!$H$24:$H$29),"Error"))</f>
        <v>282.80467445742903</v>
      </c>
    </row>
    <row r="115" spans="1:9" x14ac:dyDescent="0.2">
      <c r="A115" s="13" t="s">
        <v>279</v>
      </c>
      <c r="B115" s="14" t="s">
        <v>280</v>
      </c>
      <c r="C115" s="15" t="s">
        <v>540</v>
      </c>
      <c r="D115" s="73">
        <v>2545000</v>
      </c>
      <c r="E115" s="74" t="s">
        <v>296</v>
      </c>
      <c r="F115" s="17" t="s">
        <v>281</v>
      </c>
      <c r="G115" s="18">
        <v>2020</v>
      </c>
      <c r="H115" s="135">
        <f>D115/IF(E115="S",_xlfn.XLOOKUP($G115,Tables_for_Reference!$J$15:$J$21,Tables_for_Reference!$I$15:$I$21),IF(ESG!$E115="W",_xlfn.XLOOKUP(ESG!$G115,Tables_for_Reference!$J$15:$J$21,Tables_for_Reference!$H$15:$H$21),"Error"))</f>
        <v>298.35873388042205</v>
      </c>
      <c r="I115" s="135">
        <f>$D115/IF($E115="S",_xlfn.XLOOKUP($G115,Tables_for_Reference!$J$24:$J$29,Tables_for_Reference!$I$24:$I$29),IF(ESG!E115="W",_xlfn.XLOOKUP(ESG!G115,Tables_for_Reference!$J$24:$J$29,Tables_for_Reference!$H$24:$H$29),"Error"))</f>
        <v>257.11745569901598</v>
      </c>
    </row>
    <row r="116" spans="1:9" ht="26" x14ac:dyDescent="0.2">
      <c r="A116" s="13" t="s">
        <v>279</v>
      </c>
      <c r="B116" s="22" t="s">
        <v>280</v>
      </c>
      <c r="C116" s="23" t="s">
        <v>538</v>
      </c>
      <c r="D116" s="73">
        <v>2566943</v>
      </c>
      <c r="E116" s="74" t="s">
        <v>526</v>
      </c>
      <c r="F116" s="24" t="s">
        <v>281</v>
      </c>
      <c r="G116" s="18">
        <v>2022</v>
      </c>
      <c r="H116" s="135">
        <f>D116/IF(E116="S",_xlfn.XLOOKUP($G116,Tables_for_Reference!$J$15:$J$21,Tables_for_Reference!$I$15:$I$21),IF(ESG!$E116="W",_xlfn.XLOOKUP(ESG!$G116,Tables_for_Reference!$J$15:$J$21,Tables_for_Reference!$H$15:$H$21),"Error"))</f>
        <v>120.76037917813375</v>
      </c>
      <c r="I116" s="135">
        <f>$D116/IF($E116="S",_xlfn.XLOOKUP($G116,Tables_for_Reference!$J$24:$J$29,Tables_for_Reference!$I$24:$I$29),IF(ESG!E116="W",_xlfn.XLOOKUP(ESG!G116,Tables_for_Reference!$J$24:$J$29,Tables_for_Reference!$H$24:$H$29),"Error"))</f>
        <v>326.64957243204725</v>
      </c>
    </row>
    <row r="117" spans="1:9" ht="26" x14ac:dyDescent="0.2">
      <c r="A117" s="13" t="s">
        <v>279</v>
      </c>
      <c r="B117" s="22" t="s">
        <v>280</v>
      </c>
      <c r="C117" s="23" t="s">
        <v>538</v>
      </c>
      <c r="D117" s="73">
        <v>2685509</v>
      </c>
      <c r="E117" s="74" t="s">
        <v>526</v>
      </c>
      <c r="F117" s="24" t="s">
        <v>281</v>
      </c>
      <c r="G117" s="18">
        <v>2021</v>
      </c>
      <c r="H117" s="135">
        <f>D117/IF(E117="S",_xlfn.XLOOKUP($G117,Tables_for_Reference!$J$15:$J$21,Tables_for_Reference!$I$15:$I$21),IF(ESG!$E117="W",_xlfn.XLOOKUP(ESG!$G117,Tables_for_Reference!$J$15:$J$21,Tables_for_Reference!$H$15:$H$21),"Error"))</f>
        <v>143.25694411104178</v>
      </c>
      <c r="I117" s="135">
        <f>$D117/IF($E117="S",_xlfn.XLOOKUP($G117,Tables_for_Reference!$J$24:$J$29,Tables_for_Reference!$I$24:$I$29),IF(ESG!E117="W",_xlfn.XLOOKUP(ESG!G117,Tables_for_Reference!$J$24:$J$29,Tables_for_Reference!$H$24:$H$29),"Error"))</f>
        <v>203.37061719045815</v>
      </c>
    </row>
    <row r="118" spans="1:9" ht="26" x14ac:dyDescent="0.2">
      <c r="A118" s="13" t="s">
        <v>279</v>
      </c>
      <c r="B118" s="14" t="s">
        <v>280</v>
      </c>
      <c r="C118" s="15" t="s">
        <v>539</v>
      </c>
      <c r="D118" s="73">
        <v>2968004</v>
      </c>
      <c r="E118" s="74" t="s">
        <v>526</v>
      </c>
      <c r="F118" s="17" t="s">
        <v>281</v>
      </c>
      <c r="G118" s="18">
        <v>2019</v>
      </c>
      <c r="H118" s="135">
        <f>D118/IF(E118="S",_xlfn.XLOOKUP($G118,Tables_for_Reference!$J$15:$J$21,Tables_for_Reference!$I$15:$I$21),IF(ESG!$E118="W",_xlfn.XLOOKUP(ESG!$G118,Tables_for_Reference!$J$15:$J$21,Tables_for_Reference!$H$15:$H$21),"Error"))</f>
        <v>162.28355842309585</v>
      </c>
      <c r="I118" s="135">
        <f>$D118/IF($E118="S",_xlfn.XLOOKUP($G118,Tables_for_Reference!$J$24:$J$29,Tables_for_Reference!$I$24:$I$29),IF(ESG!E118="W",_xlfn.XLOOKUP(ESG!G118,Tables_for_Reference!$J$24:$J$29,Tables_for_Reference!$H$24:$H$29),"Error"))</f>
        <v>315.85263068278567</v>
      </c>
    </row>
    <row r="119" spans="1:9" ht="26" x14ac:dyDescent="0.2">
      <c r="A119" s="13" t="s">
        <v>279</v>
      </c>
      <c r="B119" s="22" t="s">
        <v>280</v>
      </c>
      <c r="C119" s="23" t="s">
        <v>538</v>
      </c>
      <c r="D119" s="73">
        <v>2968004</v>
      </c>
      <c r="E119" s="74" t="s">
        <v>526</v>
      </c>
      <c r="F119" s="24" t="s">
        <v>281</v>
      </c>
      <c r="G119" s="18">
        <v>2019</v>
      </c>
      <c r="H119" s="135">
        <f>D119/IF(E119="S",_xlfn.XLOOKUP($G119,Tables_for_Reference!$J$15:$J$21,Tables_for_Reference!$I$15:$I$21),IF(ESG!$E119="W",_xlfn.XLOOKUP(ESG!$G119,Tables_for_Reference!$J$15:$J$21,Tables_for_Reference!$H$15:$H$21),"Error"))</f>
        <v>162.28355842309585</v>
      </c>
      <c r="I119" s="135">
        <f>$D119/IF($E119="S",_xlfn.XLOOKUP($G119,Tables_for_Reference!$J$24:$J$29,Tables_for_Reference!$I$24:$I$29),IF(ESG!E119="W",_xlfn.XLOOKUP(ESG!G119,Tables_for_Reference!$J$24:$J$29,Tables_for_Reference!$H$24:$H$29),"Error"))</f>
        <v>315.85263068278567</v>
      </c>
    </row>
    <row r="120" spans="1:9" ht="26" x14ac:dyDescent="0.2">
      <c r="A120" s="13" t="s">
        <v>279</v>
      </c>
      <c r="B120" s="22" t="s">
        <v>280</v>
      </c>
      <c r="C120" s="23" t="s">
        <v>538</v>
      </c>
      <c r="D120" s="73">
        <v>3027961</v>
      </c>
      <c r="E120" s="74" t="s">
        <v>526</v>
      </c>
      <c r="F120" s="24" t="s">
        <v>281</v>
      </c>
      <c r="G120" s="18">
        <v>2020</v>
      </c>
      <c r="H120" s="135">
        <f>D120/IF(E120="S",_xlfn.XLOOKUP($G120,Tables_for_Reference!$J$15:$J$21,Tables_for_Reference!$I$15:$I$21),IF(ESG!$E120="W",_xlfn.XLOOKUP(ESG!$G120,Tables_for_Reference!$J$15:$J$21,Tables_for_Reference!$H$15:$H$21),"Error"))</f>
        <v>172.25072246114638</v>
      </c>
      <c r="I120" s="135">
        <f>$D120/IF($E120="S",_xlfn.XLOOKUP($G120,Tables_for_Reference!$J$24:$J$29,Tables_for_Reference!$I$24:$I$29),IF(ESG!E120="W",_xlfn.XLOOKUP(ESG!G120,Tables_for_Reference!$J$24:$J$29,Tables_for_Reference!$H$24:$H$29),"Error"))</f>
        <v>334.71817207034923</v>
      </c>
    </row>
    <row r="121" spans="1:9" x14ac:dyDescent="0.2">
      <c r="A121" s="13" t="s">
        <v>279</v>
      </c>
      <c r="B121" s="22" t="s">
        <v>280</v>
      </c>
      <c r="C121" s="23" t="s">
        <v>544</v>
      </c>
      <c r="D121" s="73">
        <v>3989000</v>
      </c>
      <c r="E121" s="74" t="s">
        <v>296</v>
      </c>
      <c r="F121" s="24" t="s">
        <v>281</v>
      </c>
      <c r="G121" s="18">
        <v>2024</v>
      </c>
      <c r="H121" s="135">
        <f>D121/IF(E121="S",_xlfn.XLOOKUP($G121,Tables_for_Reference!$J$15:$J$21,Tables_for_Reference!$I$15:$I$21),IF(ESG!$E121="W",_xlfn.XLOOKUP(ESG!$G121,Tables_for_Reference!$J$15:$J$21,Tables_for_Reference!$H$15:$H$21),"Error"))</f>
        <v>529.46228002203304</v>
      </c>
      <c r="I121" s="135">
        <f>$D121/IF($E121="S",_xlfn.XLOOKUP($G121,Tables_for_Reference!$J$24:$J$29,Tables_for_Reference!$I$24:$I$29),IF(ESG!E121="W",_xlfn.XLOOKUP(ESG!G121,Tables_for_Reference!$J$24:$J$29,Tables_for_Reference!$H$24:$H$29),"Error"))</f>
        <v>281.70721687675257</v>
      </c>
    </row>
    <row r="122" spans="1:9" x14ac:dyDescent="0.2">
      <c r="A122" s="13" t="s">
        <v>279</v>
      </c>
      <c r="B122" s="22" t="s">
        <v>280</v>
      </c>
      <c r="C122" s="23" t="s">
        <v>544</v>
      </c>
      <c r="D122" s="73">
        <v>4000000</v>
      </c>
      <c r="E122" s="74" t="s">
        <v>296</v>
      </c>
      <c r="F122" s="24" t="s">
        <v>281</v>
      </c>
      <c r="G122" s="18">
        <v>2023</v>
      </c>
      <c r="H122" s="135">
        <f>D122/IF(E122="S",_xlfn.XLOOKUP($G122,Tables_for_Reference!$J$15:$J$21,Tables_for_Reference!$I$15:$I$21),IF(ESG!$E122="W",_xlfn.XLOOKUP(ESG!$G122,Tables_for_Reference!$J$15:$J$21,Tables_for_Reference!$H$15:$H$21),"Error"))</f>
        <v>354.86160397444996</v>
      </c>
      <c r="I122" s="135">
        <f>$D122/IF($E122="S",_xlfn.XLOOKUP($G122,Tables_for_Reference!$J$24:$J$29,Tables_for_Reference!$I$24:$I$29),IF(ESG!E122="W",_xlfn.XLOOKUP(ESG!G122,Tables_for_Reference!$J$24:$J$29,Tables_for_Reference!$H$24:$H$29),"Error"))</f>
        <v>426.87612054981645</v>
      </c>
    </row>
    <row r="123" spans="1:9" x14ac:dyDescent="0.2">
      <c r="A123" s="13" t="s">
        <v>279</v>
      </c>
      <c r="B123" s="22" t="s">
        <v>280</v>
      </c>
      <c r="C123" s="23" t="s">
        <v>544</v>
      </c>
      <c r="D123" s="73">
        <v>4066000</v>
      </c>
      <c r="E123" s="74" t="s">
        <v>296</v>
      </c>
      <c r="F123" s="24" t="s">
        <v>281</v>
      </c>
      <c r="G123" s="18">
        <v>2019</v>
      </c>
      <c r="H123" s="135">
        <f>D123/IF(E123="S",_xlfn.XLOOKUP($G123,Tables_for_Reference!$J$15:$J$21,Tables_for_Reference!$I$15:$I$21),IF(ESG!$E123="W",_xlfn.XLOOKUP(ESG!$G123,Tables_for_Reference!$J$15:$J$21,Tables_for_Reference!$H$15:$H$21),"Error"))</f>
        <v>449.38107869142351</v>
      </c>
      <c r="I123" s="135">
        <f>$D123/IF($E123="S",_xlfn.XLOOKUP($G123,Tables_for_Reference!$J$24:$J$29,Tables_for_Reference!$I$24:$I$29),IF(ESG!E123="W",_xlfn.XLOOKUP(ESG!G123,Tables_for_Reference!$J$24:$J$29,Tables_for_Reference!$H$24:$H$29),"Error"))</f>
        <v>495.57565268264142</v>
      </c>
    </row>
    <row r="124" spans="1:9" x14ac:dyDescent="0.2">
      <c r="A124" s="13" t="s">
        <v>279</v>
      </c>
      <c r="B124" s="22" t="s">
        <v>280</v>
      </c>
      <c r="C124" s="23" t="s">
        <v>544</v>
      </c>
      <c r="D124" s="73">
        <v>4073000</v>
      </c>
      <c r="E124" s="74" t="s">
        <v>296</v>
      </c>
      <c r="F124" s="24" t="s">
        <v>281</v>
      </c>
      <c r="G124" s="18">
        <v>2020</v>
      </c>
      <c r="H124" s="135">
        <f>D124/IF(E124="S",_xlfn.XLOOKUP($G124,Tables_for_Reference!$J$15:$J$21,Tables_for_Reference!$I$15:$I$21),IF(ESG!$E124="W",_xlfn.XLOOKUP(ESG!$G124,Tables_for_Reference!$J$15:$J$21,Tables_for_Reference!$H$15:$H$21),"Error"))</f>
        <v>477.49120750293082</v>
      </c>
      <c r="I124" s="135">
        <f>$D124/IF($E124="S",_xlfn.XLOOKUP($G124,Tables_for_Reference!$J$24:$J$29,Tables_for_Reference!$I$24:$I$29),IF(ESG!E124="W",_xlfn.XLOOKUP(ESG!G124,Tables_for_Reference!$J$24:$J$29,Tables_for_Reference!$H$24:$H$29),"Error"))</f>
        <v>411.48895758824835</v>
      </c>
    </row>
    <row r="125" spans="1:9" x14ac:dyDescent="0.2">
      <c r="A125" s="13" t="s">
        <v>279</v>
      </c>
      <c r="B125" s="22" t="s">
        <v>280</v>
      </c>
      <c r="C125" s="23" t="s">
        <v>544</v>
      </c>
      <c r="D125" s="73">
        <v>4176000</v>
      </c>
      <c r="E125" s="74" t="s">
        <v>296</v>
      </c>
      <c r="F125" s="24" t="s">
        <v>281</v>
      </c>
      <c r="G125" s="18">
        <v>2021</v>
      </c>
      <c r="H125" s="135">
        <f>D125/IF(E125="S",_xlfn.XLOOKUP($G125,Tables_for_Reference!$J$15:$J$21,Tables_for_Reference!$I$15:$I$21),IF(ESG!$E125="W",_xlfn.XLOOKUP(ESG!$G125,Tables_for_Reference!$J$15:$J$21,Tables_for_Reference!$H$15:$H$21),"Error"))</f>
        <v>413.17898486197686</v>
      </c>
      <c r="I125" s="135">
        <f>$D125/IF($E125="S",_xlfn.XLOOKUP($G125,Tables_for_Reference!$J$24:$J$29,Tables_for_Reference!$I$24:$I$29),IF(ESG!E125="W",_xlfn.XLOOKUP(ESG!G125,Tables_for_Reference!$J$24:$J$29,Tables_for_Reference!$H$24:$H$29),"Error"))</f>
        <v>334.2805683410046</v>
      </c>
    </row>
    <row r="126" spans="1:9" x14ac:dyDescent="0.2">
      <c r="A126" s="13" t="s">
        <v>279</v>
      </c>
      <c r="B126" s="22" t="s">
        <v>280</v>
      </c>
      <c r="C126" s="23" t="s">
        <v>544</v>
      </c>
      <c r="D126" s="97">
        <v>4195000</v>
      </c>
      <c r="E126" s="74" t="s">
        <v>296</v>
      </c>
      <c r="F126" s="24" t="s">
        <v>281</v>
      </c>
      <c r="G126" s="18">
        <v>2022</v>
      </c>
      <c r="H126" s="135">
        <f>D126/IF(E126="S",_xlfn.XLOOKUP($G126,Tables_for_Reference!$J$15:$J$21,Tables_for_Reference!$I$15:$I$21),IF(ESG!$E126="W",_xlfn.XLOOKUP(ESG!$G126,Tables_for_Reference!$J$15:$J$21,Tables_for_Reference!$H$15:$H$21),"Error"))</f>
        <v>327.35076082715568</v>
      </c>
      <c r="I126" s="135">
        <f>$D126/IF($E126="S",_xlfn.XLOOKUP($G126,Tables_for_Reference!$J$24:$J$29,Tables_for_Reference!$I$24:$I$29),IF(ESG!E126="W",_xlfn.XLOOKUP(ESG!G126,Tables_for_Reference!$J$24:$J$29,Tables_for_Reference!$H$24:$H$29),"Error"))</f>
        <v>466.88925987757375</v>
      </c>
    </row>
    <row r="127" spans="1:9" x14ac:dyDescent="0.2">
      <c r="A127" s="13" t="s">
        <v>279</v>
      </c>
      <c r="B127" s="83" t="s">
        <v>562</v>
      </c>
      <c r="C127" s="23" t="s">
        <v>563</v>
      </c>
      <c r="D127" s="73">
        <v>4570757</v>
      </c>
      <c r="E127" s="74" t="s">
        <v>526</v>
      </c>
      <c r="F127" s="24" t="s">
        <v>546</v>
      </c>
      <c r="G127" s="18">
        <v>2024</v>
      </c>
      <c r="H127" s="135">
        <f>D127/IF(E127="S",_xlfn.XLOOKUP($G127,Tables_for_Reference!$J$15:$J$21,Tables_for_Reference!$I$15:$I$21),IF(ESG!$E127="W",_xlfn.XLOOKUP(ESG!$G127,Tables_for_Reference!$J$15:$J$21,Tables_for_Reference!$H$15:$H$21),"Error"))</f>
        <v>336.70547550906844</v>
      </c>
      <c r="I127" s="135">
        <f>$D127/IF($E127="S",_xlfn.XLOOKUP($G127,Tables_for_Reference!$J$24:$J$29,Tables_for_Reference!$I$24:$I$29),IF(ESG!E127="W",_xlfn.XLOOKUP(ESG!G127,Tables_for_Reference!$J$24:$J$29,Tables_for_Reference!$H$24:$H$29),"Error"))</f>
        <v>329.51872521628064</v>
      </c>
    </row>
    <row r="128" spans="1:9" x14ac:dyDescent="0.2">
      <c r="A128" s="13" t="s">
        <v>279</v>
      </c>
      <c r="B128" s="83" t="s">
        <v>562</v>
      </c>
      <c r="C128" s="23" t="s">
        <v>563</v>
      </c>
      <c r="D128" s="73">
        <v>4757773</v>
      </c>
      <c r="E128" s="74" t="s">
        <v>526</v>
      </c>
      <c r="F128" s="24" t="s">
        <v>546</v>
      </c>
      <c r="G128" s="18">
        <v>2023</v>
      </c>
      <c r="H128" s="135">
        <f>D128/IF(E128="S",_xlfn.XLOOKUP($G128,Tables_for_Reference!$J$15:$J$21,Tables_for_Reference!$I$15:$I$21),IF(ESG!$E128="W",_xlfn.XLOOKUP(ESG!$G128,Tables_for_Reference!$J$15:$J$21,Tables_for_Reference!$H$15:$H$21),"Error"))</f>
        <v>234.25765632693253</v>
      </c>
      <c r="I128" s="135">
        <f>$D128/IF($E128="S",_xlfn.XLOOKUP($G128,Tables_for_Reference!$J$24:$J$29,Tables_for_Reference!$I$24:$I$29),IF(ESG!E128="W",_xlfn.XLOOKUP(ESG!G128,Tables_for_Reference!$J$24:$J$29,Tables_for_Reference!$H$24:$H$29),"Error"))</f>
        <v>518.32674227320763</v>
      </c>
    </row>
    <row r="129" spans="1:9" x14ac:dyDescent="0.2">
      <c r="A129" s="13" t="s">
        <v>279</v>
      </c>
      <c r="B129" s="83" t="s">
        <v>562</v>
      </c>
      <c r="C129" s="23" t="s">
        <v>563</v>
      </c>
      <c r="D129" s="73">
        <v>5300000</v>
      </c>
      <c r="E129" s="74" t="s">
        <v>526</v>
      </c>
      <c r="F129" s="24" t="s">
        <v>546</v>
      </c>
      <c r="G129" s="18">
        <v>2020</v>
      </c>
      <c r="H129" s="135">
        <f>D129/IF(E129="S",_xlfn.XLOOKUP($G129,Tables_for_Reference!$J$15:$J$21,Tables_for_Reference!$I$15:$I$21),IF(ESG!$E129="W",_xlfn.XLOOKUP(ESG!$G129,Tables_for_Reference!$J$15:$J$21,Tables_for_Reference!$H$15:$H$21),"Error"))</f>
        <v>301.49953352902361</v>
      </c>
      <c r="I129" s="135">
        <f>$D129/IF($E129="S",_xlfn.XLOOKUP($G129,Tables_for_Reference!$J$24:$J$29,Tables_for_Reference!$I$24:$I$29),IF(ESG!E129="W",_xlfn.XLOOKUP(ESG!G129,Tables_for_Reference!$J$24:$J$29,Tables_for_Reference!$H$24:$H$29),"Error"))</f>
        <v>585.87488807578791</v>
      </c>
    </row>
    <row r="130" spans="1:9" x14ac:dyDescent="0.2">
      <c r="A130" s="13" t="s">
        <v>279</v>
      </c>
      <c r="B130" s="83" t="s">
        <v>562</v>
      </c>
      <c r="C130" s="23" t="s">
        <v>563</v>
      </c>
      <c r="D130" s="73">
        <v>5432613</v>
      </c>
      <c r="E130" s="74" t="s">
        <v>526</v>
      </c>
      <c r="F130" s="24" t="s">
        <v>546</v>
      </c>
      <c r="G130" s="18">
        <v>2019</v>
      </c>
      <c r="H130" s="135">
        <f>D130/IF(E130="S",_xlfn.XLOOKUP($G130,Tables_for_Reference!$J$15:$J$21,Tables_for_Reference!$I$15:$I$21),IF(ESG!$E130="W",_xlfn.XLOOKUP(ESG!$G130,Tables_for_Reference!$J$15:$J$21,Tables_for_Reference!$H$15:$H$21),"Error"))</f>
        <v>297.04264858658212</v>
      </c>
      <c r="I130" s="135">
        <f>$D130/IF($E130="S",_xlfn.XLOOKUP($G130,Tables_for_Reference!$J$24:$J$29,Tables_for_Reference!$I$24:$I$29),IF(ESG!E130="W",_xlfn.XLOOKUP(ESG!G130,Tables_for_Reference!$J$24:$J$29,Tables_for_Reference!$H$24:$H$29),"Error"))</f>
        <v>578.13436489017545</v>
      </c>
    </row>
    <row r="131" spans="1:9" x14ac:dyDescent="0.2">
      <c r="A131" s="13" t="s">
        <v>279</v>
      </c>
      <c r="B131" s="83" t="s">
        <v>562</v>
      </c>
      <c r="C131" s="23" t="s">
        <v>563</v>
      </c>
      <c r="D131" s="73">
        <v>5500000</v>
      </c>
      <c r="E131" s="74" t="s">
        <v>526</v>
      </c>
      <c r="F131" s="24" t="s">
        <v>546</v>
      </c>
      <c r="G131" s="18">
        <v>2022</v>
      </c>
      <c r="H131" s="135">
        <f>D131/IF(E131="S",_xlfn.XLOOKUP($G131,Tables_for_Reference!$J$15:$J$21,Tables_for_Reference!$I$15:$I$21),IF(ESG!$E131="W",_xlfn.XLOOKUP(ESG!$G131,Tables_for_Reference!$J$15:$J$21,Tables_for_Reference!$H$15:$H$21),"Error"))</f>
        <v>258.74438407075485</v>
      </c>
      <c r="I131" s="135">
        <f>$D131/IF($E131="S",_xlfn.XLOOKUP($G131,Tables_for_Reference!$J$24:$J$29,Tables_for_Reference!$I$24:$I$29),IF(ESG!E131="W",_xlfn.XLOOKUP(ESG!G131,Tables_for_Reference!$J$24:$J$29,Tables_for_Reference!$H$24:$H$29),"Error"))</f>
        <v>699.88801791713331</v>
      </c>
    </row>
    <row r="132" spans="1:9" x14ac:dyDescent="0.2">
      <c r="A132" s="13" t="s">
        <v>279</v>
      </c>
      <c r="B132" s="83" t="s">
        <v>562</v>
      </c>
      <c r="C132" s="23" t="s">
        <v>563</v>
      </c>
      <c r="D132" s="73">
        <v>5600000</v>
      </c>
      <c r="E132" s="74" t="s">
        <v>526</v>
      </c>
      <c r="F132" s="24" t="s">
        <v>546</v>
      </c>
      <c r="G132" s="18">
        <v>2021</v>
      </c>
      <c r="H132" s="135">
        <f>D132/IF(E132="S",_xlfn.XLOOKUP($G132,Tables_for_Reference!$J$15:$J$21,Tables_for_Reference!$I$15:$I$21),IF(ESG!$E132="W",_xlfn.XLOOKUP(ESG!$G132,Tables_for_Reference!$J$15:$J$21,Tables_for_Reference!$H$15:$H$21),"Error"))</f>
        <v>298.72880225753624</v>
      </c>
      <c r="I132" s="135">
        <f>$D132/IF($E132="S",_xlfn.XLOOKUP($G132,Tables_for_Reference!$J$24:$J$29,Tables_for_Reference!$I$24:$I$29),IF(ESG!E132="W",_xlfn.XLOOKUP(ESG!G132,Tables_for_Reference!$J$24:$J$29,Tables_for_Reference!$H$24:$H$29),"Error"))</f>
        <v>424.08178720181752</v>
      </c>
    </row>
    <row r="133" spans="1:9" x14ac:dyDescent="0.2">
      <c r="A133" s="13" t="s">
        <v>279</v>
      </c>
      <c r="B133" s="14" t="s">
        <v>280</v>
      </c>
      <c r="C133" s="15" t="s">
        <v>540</v>
      </c>
      <c r="D133" s="97">
        <v>5674000</v>
      </c>
      <c r="E133" s="74" t="s">
        <v>526</v>
      </c>
      <c r="F133" s="17" t="s">
        <v>281</v>
      </c>
      <c r="G133" s="18">
        <v>2024</v>
      </c>
      <c r="H133" s="135">
        <f>D133/IF(E133="S",_xlfn.XLOOKUP($G133,Tables_for_Reference!$J$15:$J$21,Tables_for_Reference!$I$15:$I$21),IF(ESG!$E133="W",_xlfn.XLOOKUP(ESG!$G133,Tables_for_Reference!$J$15:$J$21,Tables_for_Reference!$H$15:$H$21),"Error"))</f>
        <v>417.97603067466815</v>
      </c>
      <c r="I133" s="135">
        <f>$D133/IF($E133="S",_xlfn.XLOOKUP($G133,Tables_for_Reference!$J$24:$J$29,Tables_for_Reference!$I$24:$I$29),IF(ESG!E133="W",_xlfn.XLOOKUP(ESG!G133,Tables_for_Reference!$J$24:$J$29,Tables_for_Reference!$H$24:$H$29),"Error"))</f>
        <v>409.05461543398093</v>
      </c>
    </row>
    <row r="134" spans="1:9" x14ac:dyDescent="0.2">
      <c r="A134" s="13" t="s">
        <v>279</v>
      </c>
      <c r="B134" s="14" t="s">
        <v>280</v>
      </c>
      <c r="C134" s="15" t="s">
        <v>540</v>
      </c>
      <c r="D134" s="73">
        <v>5997083</v>
      </c>
      <c r="E134" s="74" t="s">
        <v>526</v>
      </c>
      <c r="F134" s="17" t="s">
        <v>281</v>
      </c>
      <c r="G134" s="18">
        <v>2023</v>
      </c>
      <c r="H134" s="135">
        <f>D134/IF(E134="S",_xlfn.XLOOKUP($G134,Tables_for_Reference!$J$15:$J$21,Tables_for_Reference!$I$15:$I$21),IF(ESG!$E134="W",_xlfn.XLOOKUP(ESG!$G134,Tables_for_Reference!$J$15:$J$21,Tables_for_Reference!$H$15:$H$21),"Error"))</f>
        <v>295.27735105859182</v>
      </c>
      <c r="I134" s="135">
        <f>$D134/IF($E134="S",_xlfn.XLOOKUP($G134,Tables_for_Reference!$J$24:$J$29,Tables_for_Reference!$I$24:$I$29),IF(ESG!E134="W",_xlfn.XLOOKUP(ESG!G134,Tables_for_Reference!$J$24:$J$29,Tables_for_Reference!$H$24:$H$29),"Error"))</f>
        <v>653.341068296456</v>
      </c>
    </row>
    <row r="135" spans="1:9" x14ac:dyDescent="0.2">
      <c r="A135" s="13" t="s">
        <v>279</v>
      </c>
      <c r="B135" s="83" t="s">
        <v>562</v>
      </c>
      <c r="C135" s="23" t="s">
        <v>563</v>
      </c>
      <c r="D135" s="73">
        <v>6170000</v>
      </c>
      <c r="E135" s="74" t="s">
        <v>296</v>
      </c>
      <c r="F135" s="24" t="s">
        <v>546</v>
      </c>
      <c r="G135" s="18">
        <v>2019</v>
      </c>
      <c r="H135" s="135">
        <f>D135/IF(E135="S",_xlfn.XLOOKUP($G135,Tables_for_Reference!$J$15:$J$21,Tables_for_Reference!$I$15:$I$21),IF(ESG!$E135="W",_xlfn.XLOOKUP(ESG!$G135,Tables_for_Reference!$J$15:$J$21,Tables_for_Reference!$H$15:$H$21),"Error"))</f>
        <v>681.91865605658711</v>
      </c>
      <c r="I135" s="135">
        <f>$D135/IF($E135="S",_xlfn.XLOOKUP($G135,Tables_for_Reference!$J$24:$J$29,Tables_for_Reference!$I$24:$I$29),IF(ESG!E135="W",_xlfn.XLOOKUP(ESG!G135,Tables_for_Reference!$J$24:$J$29,Tables_for_Reference!$H$24:$H$29),"Error"))</f>
        <v>752.01716110474604</v>
      </c>
    </row>
    <row r="136" spans="1:9" x14ac:dyDescent="0.2">
      <c r="A136" s="13" t="s">
        <v>279</v>
      </c>
      <c r="B136" s="14" t="s">
        <v>280</v>
      </c>
      <c r="C136" s="15" t="s">
        <v>540</v>
      </c>
      <c r="D136" s="73">
        <v>6178533</v>
      </c>
      <c r="E136" s="74" t="s">
        <v>526</v>
      </c>
      <c r="F136" s="17" t="s">
        <v>281</v>
      </c>
      <c r="G136" s="18">
        <v>2020</v>
      </c>
      <c r="H136" s="135">
        <f>D136/IF(E136="S",_xlfn.XLOOKUP($G136,Tables_for_Reference!$J$15:$J$21,Tables_for_Reference!$I$15:$I$21),IF(ESG!$E136="W",_xlfn.XLOOKUP(ESG!$G136,Tables_for_Reference!$J$15:$J$21,Tables_for_Reference!$H$15:$H$21),"Error"))</f>
        <v>351.47638064031673</v>
      </c>
      <c r="I136" s="135">
        <f>$D136/IF($E136="S",_xlfn.XLOOKUP($G136,Tables_for_Reference!$J$24:$J$29,Tables_for_Reference!$I$24:$I$29),IF(ESG!E136="W",_xlfn.XLOOKUP(ESG!G136,Tables_for_Reference!$J$24:$J$29,Tables_for_Reference!$H$24:$H$29),"Error"))</f>
        <v>682.99006223538913</v>
      </c>
    </row>
    <row r="137" spans="1:9" x14ac:dyDescent="0.2">
      <c r="A137" s="13" t="s">
        <v>279</v>
      </c>
      <c r="B137" s="83" t="s">
        <v>562</v>
      </c>
      <c r="C137" s="23" t="s">
        <v>563</v>
      </c>
      <c r="D137" s="73">
        <v>6267000</v>
      </c>
      <c r="E137" s="74" t="s">
        <v>296</v>
      </c>
      <c r="F137" s="24" t="s">
        <v>546</v>
      </c>
      <c r="G137" s="18">
        <v>2020</v>
      </c>
      <c r="H137" s="135">
        <f>D137/IF(E137="S",_xlfn.XLOOKUP($G137,Tables_for_Reference!$J$15:$J$21,Tables_for_Reference!$I$15:$I$21),IF(ESG!$E137="W",_xlfn.XLOOKUP(ESG!$G137,Tables_for_Reference!$J$15:$J$21,Tables_for_Reference!$H$15:$H$21),"Error"))</f>
        <v>734.70105509964833</v>
      </c>
      <c r="I137" s="135">
        <f>$D137/IF($E137="S",_xlfn.XLOOKUP($G137,Tables_for_Reference!$J$24:$J$29,Tables_for_Reference!$I$24:$I$29),IF(ESG!E137="W",_xlfn.XLOOKUP(ESG!G137,Tables_for_Reference!$J$24:$J$29,Tables_for_Reference!$H$24:$H$29),"Error"))</f>
        <v>633.14542037946285</v>
      </c>
    </row>
    <row r="138" spans="1:9" x14ac:dyDescent="0.2">
      <c r="A138" s="13" t="s">
        <v>279</v>
      </c>
      <c r="B138" s="14" t="s">
        <v>280</v>
      </c>
      <c r="C138" s="15" t="s">
        <v>540</v>
      </c>
      <c r="D138" s="73">
        <v>6273921</v>
      </c>
      <c r="E138" s="74" t="s">
        <v>526</v>
      </c>
      <c r="F138" s="17" t="s">
        <v>281</v>
      </c>
      <c r="G138" s="18">
        <v>2022</v>
      </c>
      <c r="H138" s="135">
        <f>D138/IF(E138="S",_xlfn.XLOOKUP($G138,Tables_for_Reference!$J$15:$J$21,Tables_for_Reference!$I$15:$I$21),IF(ESG!$E138="W",_xlfn.XLOOKUP(ESG!$G138,Tables_for_Reference!$J$15:$J$21,Tables_for_Reference!$H$15:$H$21),"Error"))</f>
        <v>295.1530590642862</v>
      </c>
      <c r="I138" s="135">
        <f>$D138/IF($E138="S",_xlfn.XLOOKUP($G138,Tables_for_Reference!$J$24:$J$29,Tables_for_Reference!$I$24:$I$29),IF(ESG!E138="W",_xlfn.XLOOKUP(ESG!G138,Tables_for_Reference!$J$24:$J$29,Tables_for_Reference!$H$24:$H$29),"Error"))</f>
        <v>798.37129695612339</v>
      </c>
    </row>
    <row r="139" spans="1:9" x14ac:dyDescent="0.2">
      <c r="A139" s="13" t="s">
        <v>279</v>
      </c>
      <c r="B139" s="14" t="s">
        <v>280</v>
      </c>
      <c r="C139" s="15" t="s">
        <v>540</v>
      </c>
      <c r="D139" s="73">
        <v>6411167</v>
      </c>
      <c r="E139" s="74" t="s">
        <v>526</v>
      </c>
      <c r="F139" s="17" t="s">
        <v>281</v>
      </c>
      <c r="G139" s="18">
        <v>2019</v>
      </c>
      <c r="H139" s="135">
        <f>D139/IF(E139="S",_xlfn.XLOOKUP($G139,Tables_for_Reference!$J$15:$J$21,Tables_for_Reference!$I$15:$I$21),IF(ESG!$E139="W",_xlfn.XLOOKUP(ESG!$G139,Tables_for_Reference!$J$15:$J$21,Tables_for_Reference!$H$15:$H$21),"Error"))</f>
        <v>350.54770627152931</v>
      </c>
      <c r="I139" s="135">
        <f>$D139/IF($E139="S",_xlfn.XLOOKUP($G139,Tables_for_Reference!$J$24:$J$29,Tables_for_Reference!$I$24:$I$29),IF(ESG!E139="W",_xlfn.XLOOKUP(ESG!G139,Tables_for_Reference!$J$24:$J$29,Tables_for_Reference!$H$24:$H$29),"Error"))</f>
        <v>682.27130512514907</v>
      </c>
    </row>
    <row r="140" spans="1:9" x14ac:dyDescent="0.2">
      <c r="A140" s="13" t="s">
        <v>279</v>
      </c>
      <c r="B140" s="83" t="s">
        <v>562</v>
      </c>
      <c r="C140" s="23" t="s">
        <v>563</v>
      </c>
      <c r="D140" s="73">
        <v>6493000</v>
      </c>
      <c r="E140" s="74" t="s">
        <v>296</v>
      </c>
      <c r="F140" s="24" t="s">
        <v>546</v>
      </c>
      <c r="G140" s="18">
        <v>2023</v>
      </c>
      <c r="H140" s="135">
        <f>D140/IF(E140="S",_xlfn.XLOOKUP($G140,Tables_for_Reference!$J$15:$J$21,Tables_for_Reference!$I$15:$I$21),IF(ESG!$E140="W",_xlfn.XLOOKUP(ESG!$G140,Tables_for_Reference!$J$15:$J$21,Tables_for_Reference!$H$15:$H$21),"Error"))</f>
        <v>576.02909865152594</v>
      </c>
      <c r="I140" s="135">
        <f>$D140/IF($E140="S",_xlfn.XLOOKUP($G140,Tables_for_Reference!$J$24:$J$29,Tables_for_Reference!$I$24:$I$29),IF(ESG!E140="W",_xlfn.XLOOKUP(ESG!G140,Tables_for_Reference!$J$24:$J$29,Tables_for_Reference!$H$24:$H$29),"Error"))</f>
        <v>692.92666268248956</v>
      </c>
    </row>
    <row r="141" spans="1:9" x14ac:dyDescent="0.2">
      <c r="A141" s="13" t="s">
        <v>279</v>
      </c>
      <c r="B141" s="83" t="s">
        <v>562</v>
      </c>
      <c r="C141" s="23" t="s">
        <v>563</v>
      </c>
      <c r="D141" s="73">
        <v>6510000</v>
      </c>
      <c r="E141" s="74" t="s">
        <v>296</v>
      </c>
      <c r="F141" s="24" t="s">
        <v>546</v>
      </c>
      <c r="G141" s="18">
        <v>2021</v>
      </c>
      <c r="H141" s="135">
        <f>D141/IF(E141="S",_xlfn.XLOOKUP($G141,Tables_for_Reference!$J$15:$J$21,Tables_for_Reference!$I$15:$I$21),IF(ESG!$E141="W",_xlfn.XLOOKUP(ESG!$G141,Tables_for_Reference!$J$15:$J$21,Tables_for_Reference!$H$15:$H$21),"Error"))</f>
        <v>644.10804392994953</v>
      </c>
      <c r="I141" s="135">
        <f>$D141/IF($E141="S",_xlfn.XLOOKUP($G141,Tables_for_Reference!$J$24:$J$29,Tables_for_Reference!$I$24:$I$29),IF(ESG!E141="W",_xlfn.XLOOKUP(ESG!G141,Tables_for_Reference!$J$24:$J$29,Tables_for_Reference!$H$24:$H$29),"Error"))</f>
        <v>521.11266760056037</v>
      </c>
    </row>
    <row r="142" spans="1:9" x14ac:dyDescent="0.2">
      <c r="A142" s="13" t="s">
        <v>279</v>
      </c>
      <c r="B142" s="14" t="s">
        <v>280</v>
      </c>
      <c r="C142" s="15" t="s">
        <v>540</v>
      </c>
      <c r="D142" s="73">
        <v>6537030</v>
      </c>
      <c r="E142" s="74" t="s">
        <v>526</v>
      </c>
      <c r="F142" s="17" t="s">
        <v>281</v>
      </c>
      <c r="G142" s="18">
        <v>2021</v>
      </c>
      <c r="H142" s="135">
        <f>D142/IF(E142="S",_xlfn.XLOOKUP($G142,Tables_for_Reference!$J$15:$J$21,Tables_for_Reference!$I$15:$I$21),IF(ESG!$E142="W",_xlfn.XLOOKUP(ESG!$G142,Tables_for_Reference!$J$15:$J$21,Tables_for_Reference!$H$15:$H$21),"Error"))</f>
        <v>348.71413253956825</v>
      </c>
      <c r="I142" s="135">
        <f>$D142/IF($E142="S",_xlfn.XLOOKUP($G142,Tables_for_Reference!$J$24:$J$29,Tables_for_Reference!$I$24:$I$29),IF(ESG!E142="W",_xlfn.XLOOKUP(ESG!G142,Tables_for_Reference!$J$24:$J$29,Tables_for_Reference!$H$24:$H$29),"Error"))</f>
        <v>495.04202953426733</v>
      </c>
    </row>
    <row r="143" spans="1:9" x14ac:dyDescent="0.2">
      <c r="A143" s="13" t="s">
        <v>279</v>
      </c>
      <c r="B143" s="83" t="s">
        <v>562</v>
      </c>
      <c r="C143" s="23" t="s">
        <v>563</v>
      </c>
      <c r="D143" s="73">
        <v>6716000</v>
      </c>
      <c r="E143" s="74" t="s">
        <v>296</v>
      </c>
      <c r="F143" s="24" t="s">
        <v>546</v>
      </c>
      <c r="G143" s="18">
        <v>2024</v>
      </c>
      <c r="H143" s="135">
        <f>D143/IF(E143="S",_xlfn.XLOOKUP($G143,Tables_for_Reference!$J$15:$J$21,Tables_for_Reference!$I$15:$I$21),IF(ESG!$E143="W",_xlfn.XLOOKUP(ESG!$G143,Tables_for_Reference!$J$15:$J$21,Tables_for_Reference!$H$15:$H$21),"Error"))</f>
        <v>891.41856922235502</v>
      </c>
      <c r="I143" s="135">
        <f>$D143/IF($E143="S",_xlfn.XLOOKUP($G143,Tables_for_Reference!$J$24:$J$29,Tables_for_Reference!$I$24:$I$29),IF(ESG!E143="W",_xlfn.XLOOKUP(ESG!G143,Tables_for_Reference!$J$24:$J$29,Tables_for_Reference!$H$24:$H$29),"Error"))</f>
        <v>474.29071660673605</v>
      </c>
    </row>
    <row r="144" spans="1:9" x14ac:dyDescent="0.2">
      <c r="A144" s="13" t="s">
        <v>279</v>
      </c>
      <c r="B144" s="83" t="s">
        <v>562</v>
      </c>
      <c r="C144" s="23" t="s">
        <v>563</v>
      </c>
      <c r="D144" s="73">
        <v>6777000</v>
      </c>
      <c r="E144" s="74" t="s">
        <v>296</v>
      </c>
      <c r="F144" s="24" t="s">
        <v>546</v>
      </c>
      <c r="G144" s="18">
        <v>2022</v>
      </c>
      <c r="H144" s="135">
        <f>D144/IF(E144="S",_xlfn.XLOOKUP($G144,Tables_for_Reference!$J$15:$J$21,Tables_for_Reference!$I$15:$I$21),IF(ESG!$E144="W",_xlfn.XLOOKUP(ESG!$G144,Tables_for_Reference!$J$15:$J$21,Tables_for_Reference!$H$15:$H$21),"Error"))</f>
        <v>528.83339836129539</v>
      </c>
      <c r="I144" s="135">
        <f>$D144/IF($E144="S",_xlfn.XLOOKUP($G144,Tables_for_Reference!$J$24:$J$29,Tables_for_Reference!$I$24:$I$29),IF(ESG!E144="W",_xlfn.XLOOKUP(ESG!G144,Tables_for_Reference!$J$24:$J$29,Tables_for_Reference!$H$24:$H$29),"Error"))</f>
        <v>754.25709515859762</v>
      </c>
    </row>
    <row r="145" spans="1:9" x14ac:dyDescent="0.2">
      <c r="A145" s="13" t="s">
        <v>279</v>
      </c>
      <c r="B145" s="22" t="s">
        <v>280</v>
      </c>
      <c r="C145" s="23" t="s">
        <v>283</v>
      </c>
      <c r="D145" s="73">
        <v>9452000</v>
      </c>
      <c r="E145" s="74" t="s">
        <v>526</v>
      </c>
      <c r="F145" s="24" t="s">
        <v>281</v>
      </c>
      <c r="G145" s="18">
        <v>2024</v>
      </c>
      <c r="H145" s="135">
        <f>D145/IF(E145="S",_xlfn.XLOOKUP($G145,Tables_for_Reference!$J$15:$J$21,Tables_for_Reference!$I$15:$I$21),IF(ESG!$E145="W",_xlfn.XLOOKUP(ESG!$G145,Tables_for_Reference!$J$15:$J$21,Tables_for_Reference!$H$15:$H$21),"Error"))</f>
        <v>696.28294711613739</v>
      </c>
      <c r="I145" s="135">
        <f>$D145/IF($E145="S",_xlfn.XLOOKUP($G145,Tables_for_Reference!$J$24:$J$29,Tables_for_Reference!$I$24:$I$29),IF(ESG!E145="W",_xlfn.XLOOKUP(ESG!G145,Tables_for_Reference!$J$24:$J$29,Tables_for_Reference!$H$24:$H$29),"Error"))</f>
        <v>681.42125926718154</v>
      </c>
    </row>
    <row r="146" spans="1:9" x14ac:dyDescent="0.2">
      <c r="A146" s="13" t="s">
        <v>279</v>
      </c>
      <c r="B146" s="22" t="s">
        <v>280</v>
      </c>
      <c r="C146" s="23" t="s">
        <v>283</v>
      </c>
      <c r="D146" s="73">
        <v>9653000</v>
      </c>
      <c r="E146" s="74" t="s">
        <v>526</v>
      </c>
      <c r="F146" s="24" t="s">
        <v>281</v>
      </c>
      <c r="G146" s="18">
        <v>2023</v>
      </c>
      <c r="H146" s="135">
        <f>D146/IF(E146="S",_xlfn.XLOOKUP($G146,Tables_for_Reference!$J$15:$J$21,Tables_for_Reference!$I$15:$I$21),IF(ESG!$E146="W",_xlfn.XLOOKUP(ESG!$G146,Tables_for_Reference!$J$15:$J$21,Tables_for_Reference!$H$15:$H$21),"Error"))</f>
        <v>475.28311176760218</v>
      </c>
      <c r="I146" s="135">
        <f>$D146/IF($E146="S",_xlfn.XLOOKUP($G146,Tables_for_Reference!$J$24:$J$29,Tables_for_Reference!$I$24:$I$29),IF(ESG!E146="W",_xlfn.XLOOKUP(ESG!G146,Tables_for_Reference!$J$24:$J$29,Tables_for_Reference!$H$24:$H$29),"Error"))</f>
        <v>1051.6281552657667</v>
      </c>
    </row>
    <row r="147" spans="1:9" x14ac:dyDescent="0.2">
      <c r="A147" s="13" t="s">
        <v>279</v>
      </c>
      <c r="B147" s="22" t="s">
        <v>280</v>
      </c>
      <c r="C147" s="23" t="s">
        <v>283</v>
      </c>
      <c r="D147" s="73">
        <v>11399000</v>
      </c>
      <c r="E147" s="74" t="s">
        <v>526</v>
      </c>
      <c r="F147" s="24" t="s">
        <v>281</v>
      </c>
      <c r="G147" s="18">
        <v>2019</v>
      </c>
      <c r="H147" s="135">
        <f>D147/IF(E147="S",_xlfn.XLOOKUP($G147,Tables_for_Reference!$J$15:$J$21,Tables_for_Reference!$I$15:$I$21),IF(ESG!$E147="W",_xlfn.XLOOKUP(ESG!$G147,Tables_for_Reference!$J$15:$J$21,Tables_for_Reference!$H$15:$H$21),"Error"))</f>
        <v>623.27081852479637</v>
      </c>
      <c r="I147" s="135">
        <f>$D147/IF($E147="S",_xlfn.XLOOKUP($G147,Tables_for_Reference!$J$24:$J$29,Tables_for_Reference!$I$24:$I$29),IF(ESG!E147="W",_xlfn.XLOOKUP(ESG!G147,Tables_for_Reference!$J$24:$J$29,Tables_for_Reference!$H$24:$H$29),"Error"))</f>
        <v>1213.0725353311766</v>
      </c>
    </row>
    <row r="148" spans="1:9" x14ac:dyDescent="0.2">
      <c r="A148" s="13" t="s">
        <v>279</v>
      </c>
      <c r="B148" s="22" t="s">
        <v>280</v>
      </c>
      <c r="C148" s="23" t="s">
        <v>544</v>
      </c>
      <c r="D148" s="73">
        <v>15358000</v>
      </c>
      <c r="E148" s="74" t="s">
        <v>526</v>
      </c>
      <c r="F148" s="24" t="s">
        <v>281</v>
      </c>
      <c r="G148" s="18">
        <v>2024</v>
      </c>
      <c r="H148" s="135">
        <f>D148/IF(E148="S",_xlfn.XLOOKUP($G148,Tables_for_Reference!$J$15:$J$21,Tables_for_Reference!$I$15:$I$21),IF(ESG!$E148="W",_xlfn.XLOOKUP(ESG!$G148,Tables_for_Reference!$J$15:$J$21,Tables_for_Reference!$H$15:$H$21),"Error"))</f>
        <v>1131.3492913467667</v>
      </c>
      <c r="I148" s="135">
        <f>$D148/IF($E148="S",_xlfn.XLOOKUP($G148,Tables_for_Reference!$J$24:$J$29,Tables_for_Reference!$I$24:$I$29),IF(ESG!E148="W",_xlfn.XLOOKUP(ESG!G148,Tables_for_Reference!$J$24:$J$29,Tables_for_Reference!$H$24:$H$29),"Error"))</f>
        <v>1107.2014070911314</v>
      </c>
    </row>
    <row r="149" spans="1:9" x14ac:dyDescent="0.2">
      <c r="A149" s="13" t="s">
        <v>279</v>
      </c>
      <c r="B149" s="22" t="s">
        <v>280</v>
      </c>
      <c r="C149" s="23" t="s">
        <v>544</v>
      </c>
      <c r="D149" s="73">
        <v>16451000</v>
      </c>
      <c r="E149" s="74" t="s">
        <v>526</v>
      </c>
      <c r="F149" s="24" t="s">
        <v>281</v>
      </c>
      <c r="G149" s="18">
        <v>2023</v>
      </c>
      <c r="H149" s="135">
        <f>D149/IF(E149="S",_xlfn.XLOOKUP($G149,Tables_for_Reference!$J$15:$J$21,Tables_for_Reference!$I$15:$I$21),IF(ESG!$E149="W",_xlfn.XLOOKUP(ESG!$G149,Tables_for_Reference!$J$15:$J$21,Tables_for_Reference!$H$15:$H$21),"Error"))</f>
        <v>809.99507631708514</v>
      </c>
      <c r="I149" s="135">
        <f>$D149/IF($E149="S",_xlfn.XLOOKUP($G149,Tables_for_Reference!$J$24:$J$29,Tables_for_Reference!$I$24:$I$29),IF(ESG!E149="W",_xlfn.XLOOKUP(ESG!G149,Tables_for_Reference!$J$24:$J$29,Tables_for_Reference!$H$24:$H$29),"Error"))</f>
        <v>1792.2236384830755</v>
      </c>
    </row>
    <row r="150" spans="1:9" x14ac:dyDescent="0.2">
      <c r="A150" s="13" t="s">
        <v>279</v>
      </c>
      <c r="B150" s="22" t="s">
        <v>280</v>
      </c>
      <c r="C150" s="23" t="s">
        <v>544</v>
      </c>
      <c r="D150" s="73">
        <v>18444649</v>
      </c>
      <c r="E150" s="74" t="s">
        <v>526</v>
      </c>
      <c r="F150" s="24" t="s">
        <v>281</v>
      </c>
      <c r="G150" s="18">
        <v>2022</v>
      </c>
      <c r="H150" s="135">
        <f>D150/IF(E150="S",_xlfn.XLOOKUP($G150,Tables_for_Reference!$J$15:$J$21,Tables_for_Reference!$I$15:$I$21),IF(ESG!$E150="W",_xlfn.XLOOKUP(ESG!$G150,Tables_for_Reference!$J$15:$J$21,Tables_for_Reference!$H$15:$H$21),"Error"))</f>
        <v>867.71806271022979</v>
      </c>
      <c r="I150" s="135">
        <f>$D150/IF($E150="S",_xlfn.XLOOKUP($G150,Tables_for_Reference!$J$24:$J$29,Tables_for_Reference!$I$24:$I$29),IF(ESG!E150="W",_xlfn.XLOOKUP(ESG!G150,Tables_for_Reference!$J$24:$J$29,Tables_for_Reference!$H$24:$H$29),"Error"))</f>
        <v>2347.1252417794972</v>
      </c>
    </row>
    <row r="151" spans="1:9" x14ac:dyDescent="0.2">
      <c r="A151" s="13" t="s">
        <v>279</v>
      </c>
      <c r="B151" s="22" t="s">
        <v>280</v>
      </c>
      <c r="C151" s="23" t="s">
        <v>544</v>
      </c>
      <c r="D151" s="73">
        <v>19004726</v>
      </c>
      <c r="E151" s="74" t="s">
        <v>526</v>
      </c>
      <c r="F151" s="24" t="s">
        <v>281</v>
      </c>
      <c r="G151" s="18">
        <v>2021</v>
      </c>
      <c r="H151" s="135">
        <f>D151/IF(E151="S",_xlfn.XLOOKUP($G151,Tables_for_Reference!$J$15:$J$21,Tables_for_Reference!$I$15:$I$21),IF(ESG!$E151="W",_xlfn.XLOOKUP(ESG!$G151,Tables_for_Reference!$J$15:$J$21,Tables_for_Reference!$H$15:$H$21),"Error"))</f>
        <v>1013.7962562879746</v>
      </c>
      <c r="I151" s="135">
        <f>$D151/IF($E151="S",_xlfn.XLOOKUP($G151,Tables_for_Reference!$J$24:$J$29,Tables_for_Reference!$I$24:$I$29),IF(ESG!E151="W",_xlfn.XLOOKUP(ESG!G151,Tables_for_Reference!$J$24:$J$29,Tables_for_Reference!$H$24:$H$29),"Error"))</f>
        <v>1439.2068156001515</v>
      </c>
    </row>
    <row r="152" spans="1:9" x14ac:dyDescent="0.2">
      <c r="A152" s="13" t="s">
        <v>279</v>
      </c>
      <c r="B152" s="22" t="s">
        <v>280</v>
      </c>
      <c r="C152" s="23" t="s">
        <v>544</v>
      </c>
      <c r="D152" s="73">
        <v>19391374</v>
      </c>
      <c r="E152" s="74" t="s">
        <v>526</v>
      </c>
      <c r="F152" s="24" t="s">
        <v>281</v>
      </c>
      <c r="G152" s="18">
        <v>2020</v>
      </c>
      <c r="H152" s="135">
        <f>D152/IF(E152="S",_xlfn.XLOOKUP($G152,Tables_for_Reference!$J$15:$J$21,Tables_for_Reference!$I$15:$I$21),IF(ESG!$E152="W",_xlfn.XLOOKUP(ESG!$G152,Tables_for_Reference!$J$15:$J$21,Tables_for_Reference!$H$15:$H$21),"Error"))</f>
        <v>1103.1113614126107</v>
      </c>
      <c r="I152" s="135">
        <f>$D152/IF($E152="S",_xlfn.XLOOKUP($G152,Tables_for_Reference!$J$24:$J$29,Tables_for_Reference!$I$24:$I$29),IF(ESG!E152="W",_xlfn.XLOOKUP(ESG!G152,Tables_for_Reference!$J$24:$J$29,Tables_for_Reference!$H$24:$H$29),"Error"))</f>
        <v>2143.5696362048575</v>
      </c>
    </row>
    <row r="153" spans="1:9" x14ac:dyDescent="0.2">
      <c r="A153" s="13" t="s">
        <v>279</v>
      </c>
      <c r="B153" s="22" t="s">
        <v>291</v>
      </c>
      <c r="C153" s="23" t="s">
        <v>534</v>
      </c>
      <c r="D153" s="73">
        <v>114500000</v>
      </c>
      <c r="E153" s="74" t="s">
        <v>296</v>
      </c>
      <c r="F153" s="24" t="s">
        <v>537</v>
      </c>
      <c r="G153" s="18">
        <v>2024</v>
      </c>
      <c r="H153" s="135">
        <f>D153/IF(E153="S",_xlfn.XLOOKUP($G153,Tables_for_Reference!$J$15:$J$21,Tables_for_Reference!$I$15:$I$21),IF(ESG!$E153="W",_xlfn.XLOOKUP(ESG!$G153,Tables_for_Reference!$J$15:$J$21,Tables_for_Reference!$H$15:$H$21),"Error"))</f>
        <v>15197.651306724189</v>
      </c>
      <c r="I153" s="135">
        <f>$D153/IF($E153="S",_xlfn.XLOOKUP($G153,Tables_for_Reference!$J$24:$J$29,Tables_for_Reference!$I$24:$I$29),IF(ESG!E153="W",_xlfn.XLOOKUP(ESG!G153,Tables_for_Reference!$J$24:$J$29,Tables_for_Reference!$H$24:$H$29),"Error"))</f>
        <v>8086.1058742512332</v>
      </c>
    </row>
    <row r="154" spans="1:9" x14ac:dyDescent="0.2">
      <c r="A154" s="13" t="s">
        <v>279</v>
      </c>
      <c r="B154" s="22" t="s">
        <v>291</v>
      </c>
      <c r="C154" s="23" t="s">
        <v>534</v>
      </c>
      <c r="D154" s="73">
        <v>121200000</v>
      </c>
      <c r="E154" s="74" t="s">
        <v>296</v>
      </c>
      <c r="F154" s="24" t="s">
        <v>537</v>
      </c>
      <c r="G154" s="18">
        <v>2023</v>
      </c>
      <c r="H154" s="135">
        <f>D154/IF(E154="S",_xlfn.XLOOKUP($G154,Tables_for_Reference!$J$15:$J$21,Tables_for_Reference!$I$15:$I$21),IF(ESG!$E154="W",_xlfn.XLOOKUP(ESG!$G154,Tables_for_Reference!$J$15:$J$21,Tables_for_Reference!$H$15:$H$21),"Error"))</f>
        <v>10752.306600425834</v>
      </c>
      <c r="I154" s="135">
        <f>$D154/IF($E154="S",_xlfn.XLOOKUP($G154,Tables_for_Reference!$J$24:$J$29,Tables_for_Reference!$I$24:$I$29),IF(ESG!E154="W",_xlfn.XLOOKUP(ESG!G154,Tables_for_Reference!$J$24:$J$29,Tables_for_Reference!$H$24:$H$29),"Error"))</f>
        <v>12934.346452659438</v>
      </c>
    </row>
    <row r="155" spans="1:9" x14ac:dyDescent="0.2">
      <c r="A155" s="13" t="s">
        <v>279</v>
      </c>
      <c r="B155" s="22" t="s">
        <v>291</v>
      </c>
      <c r="C155" s="23" t="s">
        <v>534</v>
      </c>
      <c r="D155" s="73">
        <v>125400000</v>
      </c>
      <c r="E155" s="74" t="s">
        <v>296</v>
      </c>
      <c r="F155" s="24" t="s">
        <v>537</v>
      </c>
      <c r="G155" s="18">
        <v>2019</v>
      </c>
      <c r="H155" s="135">
        <f>D155/IF(E155="S",_xlfn.XLOOKUP($G155,Tables_for_Reference!$J$15:$J$21,Tables_for_Reference!$I$15:$I$21),IF(ESG!$E155="W",_xlfn.XLOOKUP(ESG!$G155,Tables_for_Reference!$J$15:$J$21,Tables_for_Reference!$H$15:$H$21),"Error"))</f>
        <v>13859.416445623343</v>
      </c>
      <c r="I155" s="135">
        <f>$D155/IF($E155="S",_xlfn.XLOOKUP($G155,Tables_for_Reference!$J$24:$J$29,Tables_for_Reference!$I$24:$I$29),IF(ESG!E155="W",_xlfn.XLOOKUP(ESG!G155,Tables_for_Reference!$J$24:$J$29,Tables_for_Reference!$H$24:$H$29),"Error"))</f>
        <v>15284.108914511371</v>
      </c>
    </row>
    <row r="156" spans="1:9" x14ac:dyDescent="0.2">
      <c r="A156" s="13" t="s">
        <v>279</v>
      </c>
      <c r="B156" s="22" t="s">
        <v>291</v>
      </c>
      <c r="C156" s="23" t="s">
        <v>534</v>
      </c>
      <c r="D156" s="73">
        <v>126300000</v>
      </c>
      <c r="E156" s="74" t="s">
        <v>296</v>
      </c>
      <c r="F156" s="24" t="s">
        <v>537</v>
      </c>
      <c r="G156" s="18">
        <v>2021</v>
      </c>
      <c r="H156" s="135">
        <f>D156/IF(E156="S",_xlfn.XLOOKUP($G156,Tables_for_Reference!$J$15:$J$21,Tables_for_Reference!$I$15:$I$21),IF(ESG!$E156="W",_xlfn.XLOOKUP(ESG!$G156,Tables_for_Reference!$J$15:$J$21,Tables_for_Reference!$H$15:$H$21),"Error"))</f>
        <v>12496.289700207777</v>
      </c>
      <c r="I156" s="135">
        <f>$D156/IF($E156="S",_xlfn.XLOOKUP($G156,Tables_for_Reference!$J$24:$J$29,Tables_for_Reference!$I$24:$I$29),IF(ESG!E156="W",_xlfn.XLOOKUP(ESG!G156,Tables_for_Reference!$J$24:$J$29,Tables_for_Reference!$H$24:$H$29),"Error"))</f>
        <v>10110.066039623774</v>
      </c>
    </row>
    <row r="157" spans="1:9" x14ac:dyDescent="0.2">
      <c r="A157" s="13" t="s">
        <v>279</v>
      </c>
      <c r="B157" s="22" t="s">
        <v>291</v>
      </c>
      <c r="C157" s="23" t="s">
        <v>534</v>
      </c>
      <c r="D157" s="73">
        <v>126900000</v>
      </c>
      <c r="E157" s="74" t="s">
        <v>296</v>
      </c>
      <c r="F157" s="24" t="s">
        <v>537</v>
      </c>
      <c r="G157" s="18">
        <v>2022</v>
      </c>
      <c r="H157" s="135">
        <f>D157/IF(E157="S",_xlfn.XLOOKUP($G157,Tables_for_Reference!$J$15:$J$21,Tables_for_Reference!$I$15:$I$21),IF(ESG!$E157="W",_xlfn.XLOOKUP(ESG!$G157,Tables_for_Reference!$J$15:$J$21,Tables_for_Reference!$H$15:$H$21),"Error"))</f>
        <v>9902.458056964495</v>
      </c>
      <c r="I157" s="135">
        <f>$D157/IF($E157="S",_xlfn.XLOOKUP($G157,Tables_for_Reference!$J$24:$J$29,Tables_for_Reference!$I$24:$I$29),IF(ESG!E157="W",_xlfn.XLOOKUP(ESG!G157,Tables_for_Reference!$J$24:$J$29,Tables_for_Reference!$H$24:$H$29),"Error"))</f>
        <v>14123.539232053423</v>
      </c>
    </row>
    <row r="158" spans="1:9" x14ac:dyDescent="0.2">
      <c r="A158" s="13" t="s">
        <v>279</v>
      </c>
      <c r="B158" s="22" t="s">
        <v>291</v>
      </c>
      <c r="C158" s="23" t="s">
        <v>292</v>
      </c>
      <c r="D158" s="73">
        <v>128900000</v>
      </c>
      <c r="E158" s="74" t="s">
        <v>296</v>
      </c>
      <c r="F158" s="24" t="s">
        <v>537</v>
      </c>
      <c r="G158" s="18">
        <v>2024</v>
      </c>
      <c r="H158" s="135">
        <f>D158/IF(E158="S",_xlfn.XLOOKUP($G158,Tables_for_Reference!$J$15:$J$21,Tables_for_Reference!$I$15:$I$21),IF(ESG!$E158="W",_xlfn.XLOOKUP(ESG!$G158,Tables_for_Reference!$J$15:$J$21,Tables_for_Reference!$H$15:$H$21),"Error"))</f>
        <v>17108.97164573579</v>
      </c>
      <c r="I158" s="135">
        <f>$D158/IF($E158="S",_xlfn.XLOOKUP($G158,Tables_for_Reference!$J$24:$J$29,Tables_for_Reference!$I$24:$I$29),IF(ESG!E158="W",_xlfn.XLOOKUP(ESG!G158,Tables_for_Reference!$J$24:$J$29,Tables_for_Reference!$H$24:$H$29),"Error"))</f>
        <v>9103.0484470828287</v>
      </c>
    </row>
    <row r="159" spans="1:9" x14ac:dyDescent="0.2">
      <c r="A159" s="13" t="s">
        <v>279</v>
      </c>
      <c r="B159" s="22" t="s">
        <v>291</v>
      </c>
      <c r="C159" s="23" t="s">
        <v>534</v>
      </c>
      <c r="D159" s="73">
        <v>130800000.00000001</v>
      </c>
      <c r="E159" s="74" t="s">
        <v>296</v>
      </c>
      <c r="F159" s="24" t="s">
        <v>537</v>
      </c>
      <c r="G159" s="18">
        <v>2020</v>
      </c>
      <c r="H159" s="135">
        <f>D159/IF(E159="S",_xlfn.XLOOKUP($G159,Tables_for_Reference!$J$15:$J$21,Tables_for_Reference!$I$15:$I$21),IF(ESG!$E159="W",_xlfn.XLOOKUP(ESG!$G159,Tables_for_Reference!$J$15:$J$21,Tables_for_Reference!$H$15:$H$21),"Error"))</f>
        <v>15334.114888628372</v>
      </c>
      <c r="I159" s="135">
        <f>$D159/IF($E159="S",_xlfn.XLOOKUP($G159,Tables_for_Reference!$J$24:$J$29,Tables_for_Reference!$I$24:$I$29),IF(ESG!E159="W",_xlfn.XLOOKUP(ESG!G159,Tables_for_Reference!$J$24:$J$29,Tables_for_Reference!$H$24:$H$29),"Error"))</f>
        <v>13214.523852821725</v>
      </c>
    </row>
    <row r="160" spans="1:9" x14ac:dyDescent="0.2">
      <c r="A160" s="13" t="s">
        <v>279</v>
      </c>
      <c r="B160" s="22" t="s">
        <v>291</v>
      </c>
      <c r="C160" s="23" t="s">
        <v>292</v>
      </c>
      <c r="D160" s="73">
        <v>131699999.99999999</v>
      </c>
      <c r="E160" s="74" t="s">
        <v>296</v>
      </c>
      <c r="F160" s="24" t="s">
        <v>537</v>
      </c>
      <c r="G160" s="18">
        <v>2023</v>
      </c>
      <c r="H160" s="135">
        <f>D160/IF(E160="S",_xlfn.XLOOKUP($G160,Tables_for_Reference!$J$15:$J$21,Tables_for_Reference!$I$15:$I$21),IF(ESG!$E160="W",_xlfn.XLOOKUP(ESG!$G160,Tables_for_Reference!$J$15:$J$21,Tables_for_Reference!$H$15:$H$21),"Error"))</f>
        <v>11683.818310858764</v>
      </c>
      <c r="I160" s="135">
        <f>$D160/IF($E160="S",_xlfn.XLOOKUP($G160,Tables_for_Reference!$J$24:$J$29,Tables_for_Reference!$I$24:$I$29),IF(ESG!E160="W",_xlfn.XLOOKUP(ESG!G160,Tables_for_Reference!$J$24:$J$29,Tables_for_Reference!$H$24:$H$29),"Error"))</f>
        <v>14054.896269102705</v>
      </c>
    </row>
    <row r="161" spans="1:9" x14ac:dyDescent="0.2">
      <c r="A161" s="13" t="s">
        <v>279</v>
      </c>
      <c r="B161" s="22" t="s">
        <v>291</v>
      </c>
      <c r="C161" s="23" t="s">
        <v>292</v>
      </c>
      <c r="D161" s="73">
        <v>137100000</v>
      </c>
      <c r="E161" s="74" t="s">
        <v>296</v>
      </c>
      <c r="F161" s="24" t="s">
        <v>537</v>
      </c>
      <c r="G161" s="18">
        <v>2019</v>
      </c>
      <c r="H161" s="135">
        <f>D161/IF(E161="S",_xlfn.XLOOKUP($G161,Tables_for_Reference!$J$15:$J$21,Tables_for_Reference!$I$15:$I$21),IF(ESG!$E161="W",_xlfn.XLOOKUP(ESG!$G161,Tables_for_Reference!$J$15:$J$21,Tables_for_Reference!$H$15:$H$21),"Error"))</f>
        <v>15152.519893899203</v>
      </c>
      <c r="I161" s="135">
        <f>$D161/IF($E161="S",_xlfn.XLOOKUP($G161,Tables_for_Reference!$J$24:$J$29,Tables_for_Reference!$I$24:$I$29),IF(ESG!E161="W",_xlfn.XLOOKUP(ESG!G161,Tables_for_Reference!$J$24:$J$29,Tables_for_Reference!$H$24:$H$29),"Error"))</f>
        <v>16710.138215147599</v>
      </c>
    </row>
    <row r="162" spans="1:9" x14ac:dyDescent="0.2">
      <c r="A162" s="13" t="s">
        <v>279</v>
      </c>
      <c r="B162" s="22" t="s">
        <v>291</v>
      </c>
      <c r="C162" s="23" t="s">
        <v>292</v>
      </c>
      <c r="D162" s="73">
        <v>140100000</v>
      </c>
      <c r="E162" s="74" t="s">
        <v>296</v>
      </c>
      <c r="F162" s="24" t="s">
        <v>537</v>
      </c>
      <c r="G162" s="18">
        <v>2021</v>
      </c>
      <c r="H162" s="135">
        <f>D162/IF(E162="S",_xlfn.XLOOKUP($G162,Tables_for_Reference!$J$15:$J$21,Tables_for_Reference!$I$15:$I$21),IF(ESG!$E162="W",_xlfn.XLOOKUP(ESG!$G162,Tables_for_Reference!$J$15:$J$21,Tables_for_Reference!$H$15:$H$21),"Error"))</f>
        <v>13861.680023745919</v>
      </c>
      <c r="I162" s="135">
        <f>$D162/IF($E162="S",_xlfn.XLOOKUP($G162,Tables_for_Reference!$J$24:$J$29,Tables_for_Reference!$I$24:$I$29),IF(ESG!E162="W",_xlfn.XLOOKUP(ESG!G162,Tables_for_Reference!$J$24:$J$29,Tables_for_Reference!$H$24:$H$29),"Error"))</f>
        <v>11214.728837302382</v>
      </c>
    </row>
    <row r="163" spans="1:9" x14ac:dyDescent="0.2">
      <c r="A163" s="13" t="s">
        <v>279</v>
      </c>
      <c r="B163" s="22" t="s">
        <v>291</v>
      </c>
      <c r="C163" s="23" t="s">
        <v>292</v>
      </c>
      <c r="D163" s="73">
        <v>141100000</v>
      </c>
      <c r="E163" s="74" t="s">
        <v>296</v>
      </c>
      <c r="F163" s="24" t="s">
        <v>537</v>
      </c>
      <c r="G163" s="18">
        <v>2022</v>
      </c>
      <c r="H163" s="135">
        <f>D163/IF(E163="S",_xlfn.XLOOKUP($G163,Tables_for_Reference!$J$15:$J$21,Tables_for_Reference!$I$15:$I$21),IF(ESG!$E163="W",_xlfn.XLOOKUP(ESG!$G163,Tables_for_Reference!$J$15:$J$21,Tables_for_Reference!$H$15:$H$21),"Error"))</f>
        <v>11010.534529847835</v>
      </c>
      <c r="I163" s="135">
        <f>$D163/IF($E163="S",_xlfn.XLOOKUP($G163,Tables_for_Reference!$J$24:$J$29,Tables_for_Reference!$I$24:$I$29),IF(ESG!E163="W",_xlfn.XLOOKUP(ESG!G163,Tables_for_Reference!$J$24:$J$29,Tables_for_Reference!$H$24:$H$29),"Error"))</f>
        <v>15703.951029493601</v>
      </c>
    </row>
    <row r="164" spans="1:9" x14ac:dyDescent="0.2">
      <c r="A164" s="13" t="s">
        <v>279</v>
      </c>
      <c r="B164" s="22" t="s">
        <v>291</v>
      </c>
      <c r="C164" s="23" t="s">
        <v>292</v>
      </c>
      <c r="D164" s="73">
        <v>144300000</v>
      </c>
      <c r="E164" s="74" t="s">
        <v>296</v>
      </c>
      <c r="F164" s="24" t="s">
        <v>537</v>
      </c>
      <c r="G164" s="18">
        <v>2020</v>
      </c>
      <c r="H164" s="135">
        <f>D164/IF(E164="S",_xlfn.XLOOKUP($G164,Tables_for_Reference!$J$15:$J$21,Tables_for_Reference!$I$15:$I$21),IF(ESG!$E164="W",_xlfn.XLOOKUP(ESG!$G164,Tables_for_Reference!$J$15:$J$21,Tables_for_Reference!$H$15:$H$21),"Error"))</f>
        <v>16916.764361078545</v>
      </c>
      <c r="I164" s="135">
        <f>$D164/IF($E164="S",_xlfn.XLOOKUP($G164,Tables_for_Reference!$J$24:$J$29,Tables_for_Reference!$I$24:$I$29),IF(ESG!E164="W",_xlfn.XLOOKUP(ESG!G164,Tables_for_Reference!$J$24:$J$29,Tables_for_Reference!$H$24:$H$29),"Error"))</f>
        <v>14578.408195429471</v>
      </c>
    </row>
    <row r="165" spans="1:9" x14ac:dyDescent="0.2">
      <c r="A165" s="13" t="s">
        <v>279</v>
      </c>
      <c r="B165" s="22" t="s">
        <v>291</v>
      </c>
      <c r="C165" s="23" t="s">
        <v>534</v>
      </c>
      <c r="D165" s="73">
        <v>445060000</v>
      </c>
      <c r="E165" s="74" t="s">
        <v>526</v>
      </c>
      <c r="F165" s="24" t="s">
        <v>537</v>
      </c>
      <c r="G165" s="18">
        <v>2024</v>
      </c>
      <c r="H165" s="135">
        <f>D165/IF(E165="S",_xlfn.XLOOKUP($G165,Tables_for_Reference!$J$15:$J$21,Tables_for_Reference!$I$15:$I$21),IF(ESG!$E165="W",_xlfn.XLOOKUP(ESG!$G165,Tables_for_Reference!$J$15:$J$21,Tables_for_Reference!$H$15:$H$21),"Error"))</f>
        <v>32785.409272482873</v>
      </c>
      <c r="I165" s="135">
        <f>$D165/IF($E165="S",_xlfn.XLOOKUP($G165,Tables_for_Reference!$J$24:$J$29,Tables_for_Reference!$I$24:$I$29),IF(ESG!E165="W",_xlfn.XLOOKUP(ESG!G165,Tables_for_Reference!$J$24:$J$29,Tables_for_Reference!$H$24:$H$29),"Error"))</f>
        <v>32085.626920170525</v>
      </c>
    </row>
    <row r="166" spans="1:9" x14ac:dyDescent="0.2">
      <c r="A166" s="13" t="s">
        <v>279</v>
      </c>
      <c r="B166" s="22" t="s">
        <v>291</v>
      </c>
      <c r="C166" s="23" t="s">
        <v>292</v>
      </c>
      <c r="D166" s="73">
        <v>470201000</v>
      </c>
      <c r="E166" s="74" t="s">
        <v>526</v>
      </c>
      <c r="F166" s="24" t="s">
        <v>537</v>
      </c>
      <c r="G166" s="18">
        <v>2024</v>
      </c>
      <c r="H166" s="135">
        <f>D166/IF(E166="S",_xlfn.XLOOKUP($G166,Tables_for_Reference!$J$15:$J$21,Tables_for_Reference!$I$15:$I$21),IF(ESG!$E166="W",_xlfn.XLOOKUP(ESG!$G166,Tables_for_Reference!$J$15:$J$21,Tables_for_Reference!$H$15:$H$21),"Error"))</f>
        <v>34637.424673820875</v>
      </c>
      <c r="I166" s="135">
        <f>$D166/IF($E166="S",_xlfn.XLOOKUP($G166,Tables_for_Reference!$J$24:$J$29,Tables_for_Reference!$I$24:$I$29),IF(ESG!E166="W",_xlfn.XLOOKUP(ESG!G166,Tables_for_Reference!$J$24:$J$29,Tables_for_Reference!$H$24:$H$29),"Error"))</f>
        <v>33898.112307309355</v>
      </c>
    </row>
    <row r="167" spans="1:9" x14ac:dyDescent="0.2">
      <c r="A167" s="13" t="s">
        <v>279</v>
      </c>
      <c r="B167" s="22" t="s">
        <v>291</v>
      </c>
      <c r="C167" s="23" t="s">
        <v>534</v>
      </c>
      <c r="D167" s="73">
        <v>483366000</v>
      </c>
      <c r="E167" s="74" t="s">
        <v>526</v>
      </c>
      <c r="F167" s="24" t="s">
        <v>537</v>
      </c>
      <c r="G167" s="18">
        <v>2023</v>
      </c>
      <c r="H167" s="135">
        <f>D167/IF(E167="S",_xlfn.XLOOKUP($G167,Tables_for_Reference!$J$15:$J$21,Tables_for_Reference!$I$15:$I$21),IF(ESG!$E167="W",_xlfn.XLOOKUP(ESG!$G167,Tables_for_Reference!$J$15:$J$21,Tables_for_Reference!$H$15:$H$21),"Error"))</f>
        <v>23799.409158050221</v>
      </c>
      <c r="I167" s="135">
        <f>$D167/IF($E167="S",_xlfn.XLOOKUP($G167,Tables_for_Reference!$J$24:$J$29,Tables_for_Reference!$I$24:$I$29),IF(ESG!E167="W",_xlfn.XLOOKUP(ESG!G167,Tables_for_Reference!$J$24:$J$29,Tables_for_Reference!$H$24:$H$29),"Error"))</f>
        <v>52659.411053371245</v>
      </c>
    </row>
    <row r="168" spans="1:9" x14ac:dyDescent="0.2">
      <c r="A168" s="13" t="s">
        <v>279</v>
      </c>
      <c r="B168" s="22" t="s">
        <v>291</v>
      </c>
      <c r="C168" s="23" t="s">
        <v>534</v>
      </c>
      <c r="D168" s="73">
        <v>504311000</v>
      </c>
      <c r="E168" s="74" t="s">
        <v>526</v>
      </c>
      <c r="F168" s="24" t="s">
        <v>537</v>
      </c>
      <c r="G168" s="18">
        <v>2022</v>
      </c>
      <c r="H168" s="135">
        <f>D168/IF(E168="S",_xlfn.XLOOKUP($G168,Tables_for_Reference!$J$15:$J$21,Tables_for_Reference!$I$15:$I$21),IF(ESG!$E168="W",_xlfn.XLOOKUP(ESG!$G168,Tables_for_Reference!$J$15:$J$21,Tables_for_Reference!$H$15:$H$21),"Error"))</f>
        <v>23725.025286382988</v>
      </c>
      <c r="I168" s="135">
        <f>$D168/IF($E168="S",_xlfn.XLOOKUP($G168,Tables_for_Reference!$J$24:$J$29,Tables_for_Reference!$I$24:$I$29),IF(ESG!E168="W",_xlfn.XLOOKUP(ESG!G168,Tables_for_Reference!$J$24:$J$29,Tables_for_Reference!$H$24:$H$29),"Error"))</f>
        <v>64174.768400692257</v>
      </c>
    </row>
    <row r="169" spans="1:9" x14ac:dyDescent="0.2">
      <c r="A169" s="13" t="s">
        <v>279</v>
      </c>
      <c r="B169" s="22" t="s">
        <v>291</v>
      </c>
      <c r="C169" s="23" t="s">
        <v>534</v>
      </c>
      <c r="D169" s="73">
        <v>505139000</v>
      </c>
      <c r="E169" s="74" t="s">
        <v>526</v>
      </c>
      <c r="F169" s="24" t="s">
        <v>537</v>
      </c>
      <c r="G169" s="18">
        <v>2019</v>
      </c>
      <c r="H169" s="135">
        <f>D169/IF(E169="S",_xlfn.XLOOKUP($G169,Tables_for_Reference!$J$15:$J$21,Tables_for_Reference!$I$15:$I$21),IF(ESG!$E169="W",_xlfn.XLOOKUP(ESG!$G169,Tables_for_Reference!$J$15:$J$21,Tables_for_Reference!$H$15:$H$21),"Error"))</f>
        <v>27619.826124993164</v>
      </c>
      <c r="I169" s="135">
        <f>$D169/IF($E169="S",_xlfn.XLOOKUP($G169,Tables_for_Reference!$J$24:$J$29,Tables_for_Reference!$I$24:$I$29),IF(ESG!E169="W",_xlfn.XLOOKUP(ESG!G169,Tables_for_Reference!$J$24:$J$29,Tables_for_Reference!$H$24:$H$29),"Error"))</f>
        <v>53756.491571598846</v>
      </c>
    </row>
    <row r="170" spans="1:9" x14ac:dyDescent="0.2">
      <c r="A170" s="13" t="s">
        <v>279</v>
      </c>
      <c r="B170" s="22" t="s">
        <v>291</v>
      </c>
      <c r="C170" s="23" t="s">
        <v>534</v>
      </c>
      <c r="D170" s="73">
        <v>521228000</v>
      </c>
      <c r="E170" s="74" t="s">
        <v>526</v>
      </c>
      <c r="F170" s="24" t="s">
        <v>537</v>
      </c>
      <c r="G170" s="18">
        <v>2020</v>
      </c>
      <c r="H170" s="135">
        <f>D170/IF(E170="S",_xlfn.XLOOKUP($G170,Tables_for_Reference!$J$15:$J$21,Tables_for_Reference!$I$15:$I$21),IF(ESG!$E170="W",_xlfn.XLOOKUP(ESG!$G170,Tables_for_Reference!$J$15:$J$21,Tables_for_Reference!$H$15:$H$21),"Error"))</f>
        <v>29650.943181559607</v>
      </c>
      <c r="I170" s="135">
        <f>$D170/IF($E170="S",_xlfn.XLOOKUP($G170,Tables_for_Reference!$J$24:$J$29,Tables_for_Reference!$I$24:$I$29),IF(ESG!E170="W",_xlfn.XLOOKUP(ESG!G170,Tables_for_Reference!$J$24:$J$29,Tables_for_Reference!$H$24:$H$29),"Error"))</f>
        <v>57617.810596597512</v>
      </c>
    </row>
    <row r="171" spans="1:9" x14ac:dyDescent="0.2">
      <c r="A171" s="13" t="s">
        <v>279</v>
      </c>
      <c r="B171" s="22" t="s">
        <v>291</v>
      </c>
      <c r="C171" s="23" t="s">
        <v>292</v>
      </c>
      <c r="D171" s="73">
        <v>525124000</v>
      </c>
      <c r="E171" s="74" t="s">
        <v>526</v>
      </c>
      <c r="F171" s="24" t="s">
        <v>537</v>
      </c>
      <c r="G171" s="18">
        <v>2023</v>
      </c>
      <c r="H171" s="135">
        <f>D171/IF(E171="S",_xlfn.XLOOKUP($G171,Tables_for_Reference!$J$15:$J$21,Tables_for_Reference!$I$15:$I$21),IF(ESG!$E171="W",_xlfn.XLOOKUP(ESG!$G171,Tables_for_Reference!$J$15:$J$21,Tables_for_Reference!$H$15:$H$21),"Error"))</f>
        <v>25855.440669620875</v>
      </c>
      <c r="I171" s="135">
        <f>$D171/IF($E171="S",_xlfn.XLOOKUP($G171,Tables_for_Reference!$J$24:$J$29,Tables_for_Reference!$I$24:$I$29),IF(ESG!E171="W",_xlfn.XLOOKUP(ESG!G171,Tables_for_Reference!$J$24:$J$29,Tables_for_Reference!$H$24:$H$29),"Error"))</f>
        <v>57208.658800971767</v>
      </c>
    </row>
    <row r="172" spans="1:9" x14ac:dyDescent="0.2">
      <c r="A172" s="13" t="s">
        <v>279</v>
      </c>
      <c r="B172" s="22" t="s">
        <v>291</v>
      </c>
      <c r="C172" s="23" t="s">
        <v>534</v>
      </c>
      <c r="D172" s="73">
        <v>533755000</v>
      </c>
      <c r="E172" s="74" t="s">
        <v>526</v>
      </c>
      <c r="F172" s="24" t="s">
        <v>537</v>
      </c>
      <c r="G172" s="18">
        <v>2021</v>
      </c>
      <c r="H172" s="135">
        <f>D172/IF(E172="S",_xlfn.XLOOKUP($G172,Tables_for_Reference!$J$15:$J$21,Tables_for_Reference!$I$15:$I$21),IF(ESG!$E172="W",_xlfn.XLOOKUP(ESG!$G172,Tables_for_Reference!$J$15:$J$21,Tables_for_Reference!$H$15:$H$21),"Error"))</f>
        <v>28472.855687316296</v>
      </c>
      <c r="I172" s="135">
        <f>$D172/IF($E172="S",_xlfn.XLOOKUP($G172,Tables_for_Reference!$J$24:$J$29,Tables_for_Reference!$I$24:$I$29),IF(ESG!E172="W",_xlfn.XLOOKUP(ESG!G172,Tables_for_Reference!$J$24:$J$29,Tables_for_Reference!$H$24:$H$29),"Error"))</f>
        <v>40420.673987126087</v>
      </c>
    </row>
    <row r="173" spans="1:9" x14ac:dyDescent="0.2">
      <c r="A173" s="13" t="s">
        <v>279</v>
      </c>
      <c r="B173" s="22" t="s">
        <v>291</v>
      </c>
      <c r="C173" s="23" t="s">
        <v>292</v>
      </c>
      <c r="D173" s="73">
        <v>567258000</v>
      </c>
      <c r="E173" s="74" t="s">
        <v>526</v>
      </c>
      <c r="F173" s="24" t="s">
        <v>537</v>
      </c>
      <c r="G173" s="18">
        <v>2022</v>
      </c>
      <c r="H173" s="135">
        <f>D173/IF(E173="S",_xlfn.XLOOKUP($G173,Tables_for_Reference!$J$15:$J$21,Tables_for_Reference!$I$15:$I$21),IF(ESG!$E173="W",_xlfn.XLOOKUP(ESG!$G173,Tables_for_Reference!$J$15:$J$21,Tables_for_Reference!$H$15:$H$21),"Error"))</f>
        <v>26686.331239856045</v>
      </c>
      <c r="I173" s="135">
        <f>$D173/IF($E173="S",_xlfn.XLOOKUP($G173,Tables_for_Reference!$J$24:$J$29,Tables_for_Reference!$I$24:$I$29),IF(ESG!E173="W",_xlfn.XLOOKUP(ESG!G173,Tables_for_Reference!$J$24:$J$29,Tables_for_Reference!$H$24:$H$29),"Error"))</f>
        <v>72184.923139570397</v>
      </c>
    </row>
    <row r="174" spans="1:9" x14ac:dyDescent="0.2">
      <c r="A174" s="13" t="s">
        <v>279</v>
      </c>
      <c r="B174" s="22" t="s">
        <v>291</v>
      </c>
      <c r="C174" s="23" t="s">
        <v>292</v>
      </c>
      <c r="D174" s="73">
        <v>575342000</v>
      </c>
      <c r="E174" s="74" t="s">
        <v>526</v>
      </c>
      <c r="F174" s="24" t="s">
        <v>537</v>
      </c>
      <c r="G174" s="18">
        <v>2019</v>
      </c>
      <c r="H174" s="135">
        <f>D174/IF(E174="S",_xlfn.XLOOKUP($G174,Tables_for_Reference!$J$15:$J$21,Tables_for_Reference!$I$15:$I$21),IF(ESG!$E174="W",_xlfn.XLOOKUP(ESG!$G174,Tables_for_Reference!$J$15:$J$21,Tables_for_Reference!$H$15:$H$21),"Error"))</f>
        <v>31458.362950407347</v>
      </c>
      <c r="I174" s="135">
        <f>$D174/IF($E174="S",_xlfn.XLOOKUP($G174,Tables_for_Reference!$J$24:$J$29,Tables_for_Reference!$I$24:$I$29),IF(ESG!E174="W",_xlfn.XLOOKUP(ESG!G174,Tables_for_Reference!$J$24:$J$29,Tables_for_Reference!$H$24:$H$29),"Error"))</f>
        <v>61227.439128213868</v>
      </c>
    </row>
    <row r="175" spans="1:9" x14ac:dyDescent="0.2">
      <c r="A175" s="13" t="s">
        <v>279</v>
      </c>
      <c r="B175" s="22" t="s">
        <v>291</v>
      </c>
      <c r="C175" s="23" t="s">
        <v>292</v>
      </c>
      <c r="D175" s="73">
        <v>581276000</v>
      </c>
      <c r="E175" s="74" t="s">
        <v>526</v>
      </c>
      <c r="F175" s="24" t="s">
        <v>537</v>
      </c>
      <c r="G175" s="18">
        <v>2021</v>
      </c>
      <c r="H175" s="135">
        <f>D175/IF(E175="S",_xlfn.XLOOKUP($G175,Tables_for_Reference!$J$15:$J$21,Tables_for_Reference!$I$15:$I$21),IF(ESG!$E175="W",_xlfn.XLOOKUP(ESG!$G175,Tables_for_Reference!$J$15:$J$21,Tables_for_Reference!$H$15:$H$21),"Error"))</f>
        <v>31007.836296616366</v>
      </c>
      <c r="I175" s="135">
        <f>$D175/IF($E175="S",_xlfn.XLOOKUP($G175,Tables_for_Reference!$J$24:$J$29,Tables_for_Reference!$I$24:$I$29),IF(ESG!E175="W",_xlfn.XLOOKUP(ESG!G175,Tables_for_Reference!$J$24:$J$29,Tables_for_Reference!$H$24:$H$29),"Error"))</f>
        <v>44019.386595986369</v>
      </c>
    </row>
    <row r="176" spans="1:9" x14ac:dyDescent="0.2">
      <c r="A176" s="13" t="s">
        <v>279</v>
      </c>
      <c r="B176" s="22" t="s">
        <v>291</v>
      </c>
      <c r="C176" s="23" t="s">
        <v>292</v>
      </c>
      <c r="D176" s="73">
        <v>588952000</v>
      </c>
      <c r="E176" s="74" t="s">
        <v>526</v>
      </c>
      <c r="F176" s="24" t="s">
        <v>537</v>
      </c>
      <c r="G176" s="18">
        <v>2020</v>
      </c>
      <c r="H176" s="135">
        <f>D176/IF(E176="S",_xlfn.XLOOKUP($G176,Tables_for_Reference!$J$15:$J$21,Tables_for_Reference!$I$15:$I$21),IF(ESG!$E176="W",_xlfn.XLOOKUP(ESG!$G176,Tables_for_Reference!$J$15:$J$21,Tables_for_Reference!$H$15:$H$21),"Error"))</f>
        <v>33503.538353016134</v>
      </c>
      <c r="I176" s="135">
        <f>$D176/IF($E176="S",_xlfn.XLOOKUP($G176,Tables_for_Reference!$J$24:$J$29,Tables_for_Reference!$I$24:$I$29),IF(ESG!E176="W",_xlfn.XLOOKUP(ESG!G176,Tables_for_Reference!$J$24:$J$29,Tables_for_Reference!$H$24:$H$29),"Error"))</f>
        <v>65104.186241888958</v>
      </c>
    </row>
    <row r="177" spans="1:9" ht="26" x14ac:dyDescent="0.2">
      <c r="A177" s="25" t="s">
        <v>296</v>
      </c>
      <c r="B177" s="14" t="s">
        <v>304</v>
      </c>
      <c r="C177" s="15" t="s">
        <v>183</v>
      </c>
      <c r="D177" s="93">
        <v>14</v>
      </c>
      <c r="E177" s="84" t="s">
        <v>526</v>
      </c>
      <c r="F177" s="24" t="s">
        <v>305</v>
      </c>
      <c r="G177" s="18">
        <v>2024</v>
      </c>
      <c r="H177" s="135">
        <f>D177/IF(E177="S",_xlfn.XLOOKUP($G177,Tables_for_Reference!$J$15:$J$21,Tables_for_Reference!$I$15:$I$21),IF(ESG!$E177="W",_xlfn.XLOOKUP(ESG!$G177,Tables_for_Reference!$J$15:$J$21,Tables_for_Reference!$H$15:$H$21),"Error"))</f>
        <v>1.0313120249286843E-3</v>
      </c>
      <c r="I177" s="135">
        <f>$D177/IF($E177="S",_xlfn.XLOOKUP($G177,Tables_for_Reference!$J$24:$J$29,Tables_for_Reference!$I$24:$I$29),IF(ESG!E177="W",_xlfn.XLOOKUP(ESG!G177,Tables_for_Reference!$J$24:$J$29,Tables_for_Reference!$H$24:$H$29),"Error"))</f>
        <v>1.0092993683601926E-3</v>
      </c>
    </row>
    <row r="178" spans="1:9" x14ac:dyDescent="0.2">
      <c r="A178" s="25" t="s">
        <v>296</v>
      </c>
      <c r="B178" s="14" t="s">
        <v>304</v>
      </c>
      <c r="C178" s="90" t="s">
        <v>183</v>
      </c>
      <c r="D178" s="91">
        <v>22</v>
      </c>
      <c r="E178" s="84" t="s">
        <v>296</v>
      </c>
      <c r="F178" s="24" t="s">
        <v>305</v>
      </c>
      <c r="G178" s="18">
        <v>2019</v>
      </c>
      <c r="H178" s="135">
        <f>D178/IF(E178="S",_xlfn.XLOOKUP($G178,Tables_for_Reference!$J$15:$J$21,Tables_for_Reference!$I$15:$I$21),IF(ESG!$E178="W",_xlfn.XLOOKUP(ESG!$G178,Tables_for_Reference!$J$15:$J$21,Tables_for_Reference!$H$15:$H$21),"Error"))</f>
        <v>2.4314765694076041E-3</v>
      </c>
      <c r="I178" s="135">
        <f>$D178/IF($E178="S",_xlfn.XLOOKUP($G178,Tables_for_Reference!$J$24:$J$29,Tables_for_Reference!$I$24:$I$29),IF(ESG!E178="W",_xlfn.XLOOKUP(ESG!G178,Tables_for_Reference!$J$24:$J$29,Tables_for_Reference!$H$24:$H$29),"Error"))</f>
        <v>2.6814226165809423E-3</v>
      </c>
    </row>
    <row r="179" spans="1:9" x14ac:dyDescent="0.2">
      <c r="A179" s="25" t="s">
        <v>296</v>
      </c>
      <c r="B179" s="14" t="s">
        <v>304</v>
      </c>
      <c r="C179" s="90" t="s">
        <v>183</v>
      </c>
      <c r="D179" s="93">
        <v>11</v>
      </c>
      <c r="E179" s="84" t="s">
        <v>526</v>
      </c>
      <c r="F179" s="24" t="s">
        <v>305</v>
      </c>
      <c r="G179" s="18">
        <v>2023</v>
      </c>
      <c r="H179" s="135">
        <f>D179/IF(E179="S",_xlfn.XLOOKUP($G179,Tables_for_Reference!$J$15:$J$21,Tables_for_Reference!$I$15:$I$21),IF(ESG!$E179="W",_xlfn.XLOOKUP(ESG!$G179,Tables_for_Reference!$J$15:$J$21,Tables_for_Reference!$H$15:$H$21),"Error"))</f>
        <v>5.4160512063023141E-4</v>
      </c>
      <c r="I179" s="135">
        <f>$D179/IF($E179="S",_xlfn.XLOOKUP($G179,Tables_for_Reference!$J$24:$J$29,Tables_for_Reference!$I$24:$I$29),IF(ESG!E179="W",_xlfn.XLOOKUP(ESG!G179,Tables_for_Reference!$J$24:$J$29,Tables_for_Reference!$H$24:$H$29),"Error"))</f>
        <v>1.1983745683127975E-3</v>
      </c>
    </row>
    <row r="180" spans="1:9" x14ac:dyDescent="0.2">
      <c r="A180" s="25" t="s">
        <v>296</v>
      </c>
      <c r="B180" s="14" t="s">
        <v>297</v>
      </c>
      <c r="C180" s="15" t="s">
        <v>142</v>
      </c>
      <c r="D180" s="93">
        <v>46237</v>
      </c>
      <c r="E180" s="84" t="s">
        <v>296</v>
      </c>
      <c r="F180" s="24" t="s">
        <v>298</v>
      </c>
      <c r="G180" s="18">
        <v>2019</v>
      </c>
      <c r="H180" s="135">
        <f>D180/IF(E180="S",_xlfn.XLOOKUP($G180,Tables_for_Reference!$J$15:$J$21,Tables_for_Reference!$I$15:$I$21),IF(ESG!$E180="W",_xlfn.XLOOKUP(ESG!$G180,Tables_for_Reference!$J$15:$J$21,Tables_for_Reference!$H$15:$H$21),"Error"))</f>
        <v>5.1101900972590624</v>
      </c>
      <c r="I180" s="135">
        <f>$D180/IF($E180="S",_xlfn.XLOOKUP($G180,Tables_for_Reference!$J$24:$J$29,Tables_for_Reference!$I$24:$I$29),IF(ESG!E180="W",_xlfn.XLOOKUP(ESG!G180,Tables_for_Reference!$J$24:$J$29,Tables_for_Reference!$H$24:$H$29),"Error"))</f>
        <v>5.6354971601296828</v>
      </c>
    </row>
    <row r="181" spans="1:9" ht="26" x14ac:dyDescent="0.2">
      <c r="A181" s="25" t="s">
        <v>296</v>
      </c>
      <c r="B181" s="14" t="s">
        <v>304</v>
      </c>
      <c r="C181" s="15" t="s">
        <v>183</v>
      </c>
      <c r="D181" s="93">
        <v>8</v>
      </c>
      <c r="E181" s="84" t="s">
        <v>526</v>
      </c>
      <c r="F181" s="24" t="s">
        <v>305</v>
      </c>
      <c r="G181" s="18">
        <v>2022</v>
      </c>
      <c r="H181" s="135">
        <f>D181/IF(E181="S",_xlfn.XLOOKUP($G181,Tables_for_Reference!$J$15:$J$21,Tables_for_Reference!$I$15:$I$21),IF(ESG!$E181="W",_xlfn.XLOOKUP(ESG!$G181,Tables_for_Reference!$J$15:$J$21,Tables_for_Reference!$H$15:$H$21),"Error"))</f>
        <v>3.7635546773927975E-4</v>
      </c>
      <c r="I181" s="135">
        <f>$D181/IF($E181="S",_xlfn.XLOOKUP($G181,Tables_for_Reference!$J$24:$J$29,Tables_for_Reference!$I$24:$I$29),IF(ESG!E181="W",_xlfn.XLOOKUP(ESG!G181,Tables_for_Reference!$J$24:$J$29,Tables_for_Reference!$H$24:$H$29),"Error"))</f>
        <v>1.0180189351521938E-3</v>
      </c>
    </row>
    <row r="182" spans="1:9" ht="26" x14ac:dyDescent="0.2">
      <c r="A182" s="25" t="s">
        <v>296</v>
      </c>
      <c r="B182" s="14" t="s">
        <v>302</v>
      </c>
      <c r="C182" s="15" t="s">
        <v>169</v>
      </c>
      <c r="D182" s="91">
        <v>0.84</v>
      </c>
      <c r="E182" s="84" t="s">
        <v>296</v>
      </c>
      <c r="F182" s="24" t="s">
        <v>303</v>
      </c>
      <c r="G182" s="18">
        <v>2019</v>
      </c>
      <c r="H182" s="135">
        <f>D182/IF(E182="S",_xlfn.XLOOKUP($G182,Tables_for_Reference!$J$15:$J$21,Tables_for_Reference!$I$15:$I$21),IF(ESG!$E182="W",_xlfn.XLOOKUP(ESG!$G182,Tables_for_Reference!$J$15:$J$21,Tables_for_Reference!$H$15:$H$21),"Error"))</f>
        <v>9.2838196286472151E-5</v>
      </c>
      <c r="I182" s="135">
        <f>$D182/IF($E182="S",_xlfn.XLOOKUP($G182,Tables_for_Reference!$J$24:$J$29,Tables_for_Reference!$I$24:$I$29),IF(ESG!E182="W",_xlfn.XLOOKUP(ESG!G182,Tables_for_Reference!$J$24:$J$29,Tables_for_Reference!$H$24:$H$29),"Error"))</f>
        <v>1.023815908149087E-4</v>
      </c>
    </row>
    <row r="183" spans="1:9" x14ac:dyDescent="0.2">
      <c r="A183" s="25" t="s">
        <v>296</v>
      </c>
      <c r="B183" s="14" t="s">
        <v>304</v>
      </c>
      <c r="C183" s="90" t="s">
        <v>183</v>
      </c>
      <c r="D183" s="93">
        <v>11</v>
      </c>
      <c r="E183" s="84" t="s">
        <v>526</v>
      </c>
      <c r="F183" s="24" t="s">
        <v>305</v>
      </c>
      <c r="G183" s="18">
        <v>2021</v>
      </c>
      <c r="H183" s="135">
        <f>D183/IF(E183="S",_xlfn.XLOOKUP($G183,Tables_for_Reference!$J$15:$J$21,Tables_for_Reference!$I$15:$I$21),IF(ESG!$E183="W",_xlfn.XLOOKUP(ESG!$G183,Tables_for_Reference!$J$15:$J$21,Tables_for_Reference!$H$15:$H$21),"Error"))</f>
        <v>5.8678871872016051E-4</v>
      </c>
      <c r="I183" s="135">
        <f>$D183/IF($E183="S",_xlfn.XLOOKUP($G183,Tables_for_Reference!$J$24:$J$29,Tables_for_Reference!$I$24:$I$29),IF(ESG!E183="W",_xlfn.XLOOKUP(ESG!G183,Tables_for_Reference!$J$24:$J$29,Tables_for_Reference!$H$24:$H$29),"Error"))</f>
        <v>8.3301779628928432E-4</v>
      </c>
    </row>
    <row r="184" spans="1:9" x14ac:dyDescent="0.2">
      <c r="A184" s="25" t="s">
        <v>296</v>
      </c>
      <c r="B184" s="14" t="s">
        <v>304</v>
      </c>
      <c r="C184" s="15" t="s">
        <v>531</v>
      </c>
      <c r="D184" s="93">
        <v>843.56999999999994</v>
      </c>
      <c r="E184" s="84" t="s">
        <v>296</v>
      </c>
      <c r="F184" s="24" t="s">
        <v>532</v>
      </c>
      <c r="G184" s="18">
        <v>2019</v>
      </c>
      <c r="H184" s="135">
        <f>D184/IF(E184="S",_xlfn.XLOOKUP($G184,Tables_for_Reference!$J$15:$J$21,Tables_for_Reference!$I$15:$I$21),IF(ESG!$E184="W",_xlfn.XLOOKUP(ESG!$G184,Tables_for_Reference!$J$15:$J$21,Tables_for_Reference!$H$15:$H$21),"Error"))</f>
        <v>9.3232758620689651E-2</v>
      </c>
      <c r="I184" s="135">
        <f>$D184/IF($E184="S",_xlfn.XLOOKUP($G184,Tables_for_Reference!$J$24:$J$29,Tables_for_Reference!$I$24:$I$29),IF(ESG!E184="W",_xlfn.XLOOKUP(ESG!G184,Tables_for_Reference!$J$24:$J$29,Tables_for_Reference!$H$24:$H$29),"Error"))</f>
        <v>0.10281671257587206</v>
      </c>
    </row>
    <row r="185" spans="1:9" x14ac:dyDescent="0.2">
      <c r="A185" s="25" t="s">
        <v>296</v>
      </c>
      <c r="B185" s="22" t="s">
        <v>297</v>
      </c>
      <c r="C185" s="23" t="s">
        <v>533</v>
      </c>
      <c r="D185" s="91">
        <v>4842</v>
      </c>
      <c r="E185" s="84" t="s">
        <v>296</v>
      </c>
      <c r="F185" s="17" t="s">
        <v>549</v>
      </c>
      <c r="G185" s="18">
        <v>2019</v>
      </c>
      <c r="H185" s="135">
        <f>D185/IF(E185="S",_xlfn.XLOOKUP($G185,Tables_for_Reference!$J$15:$J$21,Tables_for_Reference!$I$15:$I$21),IF(ESG!$E185="W",_xlfn.XLOOKUP(ESG!$G185,Tables_for_Reference!$J$15:$J$21,Tables_for_Reference!$H$15:$H$21),"Error"))</f>
        <v>0.53514588859416445</v>
      </c>
      <c r="I185" s="135">
        <f>$D185/IF($E185="S",_xlfn.XLOOKUP($G185,Tables_for_Reference!$J$24:$J$29,Tables_for_Reference!$I$24:$I$29),IF(ESG!E185="W",_xlfn.XLOOKUP(ESG!G185,Tables_for_Reference!$J$24:$J$29,Tables_for_Reference!$H$24:$H$29),"Error"))</f>
        <v>0.59015674134022378</v>
      </c>
    </row>
    <row r="186" spans="1:9" x14ac:dyDescent="0.2">
      <c r="A186" s="25" t="s">
        <v>296</v>
      </c>
      <c r="B186" s="14" t="s">
        <v>299</v>
      </c>
      <c r="C186" s="15" t="s">
        <v>301</v>
      </c>
      <c r="D186" s="92">
        <v>0.21</v>
      </c>
      <c r="E186" s="84" t="s">
        <v>296</v>
      </c>
      <c r="F186" s="24" t="s">
        <v>99</v>
      </c>
      <c r="G186" s="18">
        <v>2019</v>
      </c>
      <c r="H186" s="135">
        <f>D186/IF(E186="S",_xlfn.XLOOKUP($G186,Tables_for_Reference!$J$15:$J$21,Tables_for_Reference!$I$15:$I$21),IF(ESG!$E186="W",_xlfn.XLOOKUP(ESG!$G186,Tables_for_Reference!$J$15:$J$21,Tables_for_Reference!$H$15:$H$21),"Error"))</f>
        <v>2.3209549071618038E-5</v>
      </c>
      <c r="I186" s="135">
        <f>$D186/IF($E186="S",_xlfn.XLOOKUP($G186,Tables_for_Reference!$J$24:$J$29,Tables_for_Reference!$I$24:$I$29),IF(ESG!E186="W",_xlfn.XLOOKUP(ESG!G186,Tables_for_Reference!$J$24:$J$29,Tables_for_Reference!$H$24:$H$29),"Error"))</f>
        <v>2.5595397703727174E-5</v>
      </c>
    </row>
    <row r="187" spans="1:9" ht="26" x14ac:dyDescent="0.2">
      <c r="A187" s="25" t="s">
        <v>296</v>
      </c>
      <c r="B187" s="14" t="s">
        <v>302</v>
      </c>
      <c r="C187" s="15" t="s">
        <v>169</v>
      </c>
      <c r="D187" s="94">
        <v>1.34</v>
      </c>
      <c r="E187" s="84" t="s">
        <v>526</v>
      </c>
      <c r="F187" s="24" t="s">
        <v>303</v>
      </c>
      <c r="G187" s="18">
        <v>2024</v>
      </c>
      <c r="H187" s="135">
        <f>D187/IF(E187="S",_xlfn.XLOOKUP($G187,Tables_for_Reference!$J$15:$J$21,Tables_for_Reference!$I$15:$I$21),IF(ESG!$E187="W",_xlfn.XLOOKUP(ESG!$G187,Tables_for_Reference!$J$15:$J$21,Tables_for_Reference!$H$15:$H$21),"Error"))</f>
        <v>9.8711293814602636E-5</v>
      </c>
      <c r="I187" s="139">
        <f>$D187/IF($E187="S",_xlfn.XLOOKUP($G187,Tables_for_Reference!$J$24:$J$29,Tables_for_Reference!$I$24:$I$29),IF(ESG!E187="W",_xlfn.XLOOKUP(ESG!G187,Tables_for_Reference!$J$24:$J$29,Tables_for_Reference!$H$24:$H$29),"Error"))</f>
        <v>9.6604368114475587E-5</v>
      </c>
    </row>
    <row r="188" spans="1:9" ht="26" x14ac:dyDescent="0.2">
      <c r="A188" s="25" t="s">
        <v>296</v>
      </c>
      <c r="B188" s="14" t="s">
        <v>302</v>
      </c>
      <c r="C188" s="15" t="s">
        <v>169</v>
      </c>
      <c r="D188" s="94">
        <v>1.52</v>
      </c>
      <c r="E188" s="84" t="s">
        <v>526</v>
      </c>
      <c r="F188" s="24" t="s">
        <v>303</v>
      </c>
      <c r="G188" s="18">
        <v>2023</v>
      </c>
      <c r="H188" s="135">
        <f>D188/IF(E188="S",_xlfn.XLOOKUP($G188,Tables_for_Reference!$J$15:$J$21,Tables_for_Reference!$I$15:$I$21),IF(ESG!$E188="W",_xlfn.XLOOKUP(ESG!$G188,Tables_for_Reference!$J$15:$J$21,Tables_for_Reference!$H$15:$H$21),"Error"))</f>
        <v>7.4839980305268337E-5</v>
      </c>
      <c r="I188" s="139">
        <f>$D188/IF($E188="S",_xlfn.XLOOKUP($G188,Tables_for_Reference!$J$24:$J$29,Tables_for_Reference!$I$24:$I$29),IF(ESG!E188="W",_xlfn.XLOOKUP(ESG!G188,Tables_for_Reference!$J$24:$J$29,Tables_for_Reference!$H$24:$H$29),"Error"))</f>
        <v>1.6559357671231385E-4</v>
      </c>
    </row>
    <row r="189" spans="1:9" ht="26" x14ac:dyDescent="0.2">
      <c r="A189" s="25" t="s">
        <v>296</v>
      </c>
      <c r="B189" s="14" t="s">
        <v>302</v>
      </c>
      <c r="C189" s="15" t="s">
        <v>169</v>
      </c>
      <c r="D189" s="94">
        <v>1.69</v>
      </c>
      <c r="E189" s="84" t="s">
        <v>526</v>
      </c>
      <c r="F189" s="24" t="s">
        <v>303</v>
      </c>
      <c r="G189" s="18">
        <v>2022</v>
      </c>
      <c r="H189" s="135">
        <f>D189/IF(E189="S",_xlfn.XLOOKUP($G189,Tables_for_Reference!$J$15:$J$21,Tables_for_Reference!$I$15:$I$21),IF(ESG!$E189="W",_xlfn.XLOOKUP(ESG!$G189,Tables_for_Reference!$J$15:$J$21,Tables_for_Reference!$H$15:$H$21),"Error"))</f>
        <v>7.9505092559922839E-5</v>
      </c>
      <c r="I189" s="139">
        <f>$D189/IF($E189="S",_xlfn.XLOOKUP($G189,Tables_for_Reference!$J$24:$J$29,Tables_for_Reference!$I$24:$I$29),IF(ESG!E189="W",_xlfn.XLOOKUP(ESG!G189,Tables_for_Reference!$J$24:$J$29,Tables_for_Reference!$H$24:$H$29),"Error"))</f>
        <v>2.1505650005090095E-4</v>
      </c>
    </row>
    <row r="190" spans="1:9" ht="26" x14ac:dyDescent="0.2">
      <c r="A190" s="25" t="s">
        <v>296</v>
      </c>
      <c r="B190" s="14" t="s">
        <v>302</v>
      </c>
      <c r="C190" s="15" t="s">
        <v>169</v>
      </c>
      <c r="D190" s="94">
        <v>1.61</v>
      </c>
      <c r="E190" s="84" t="s">
        <v>526</v>
      </c>
      <c r="F190" s="24" t="s">
        <v>303</v>
      </c>
      <c r="G190" s="18">
        <v>2021</v>
      </c>
      <c r="H190" s="135">
        <f>D190/IF(E190="S",_xlfn.XLOOKUP($G190,Tables_for_Reference!$J$15:$J$21,Tables_for_Reference!$I$15:$I$21),IF(ESG!$E190="W",_xlfn.XLOOKUP(ESG!$G190,Tables_for_Reference!$J$15:$J$21,Tables_for_Reference!$H$15:$H$21),"Error"))</f>
        <v>8.5884530649041682E-5</v>
      </c>
      <c r="I190" s="139">
        <f>$D190/IF($E190="S",_xlfn.XLOOKUP($G190,Tables_for_Reference!$J$24:$J$29,Tables_for_Reference!$I$24:$I$29),IF(ESG!E190="W",_xlfn.XLOOKUP(ESG!G190,Tables_for_Reference!$J$24:$J$29,Tables_for_Reference!$H$24:$H$29),"Error"))</f>
        <v>1.2192351382052254E-4</v>
      </c>
    </row>
    <row r="191" spans="1:9" ht="26" x14ac:dyDescent="0.2">
      <c r="A191" s="25" t="s">
        <v>296</v>
      </c>
      <c r="B191" s="14" t="s">
        <v>302</v>
      </c>
      <c r="C191" s="15" t="s">
        <v>169</v>
      </c>
      <c r="D191" s="94">
        <v>1.56</v>
      </c>
      <c r="E191" s="84" t="s">
        <v>526</v>
      </c>
      <c r="F191" s="24" t="s">
        <v>303</v>
      </c>
      <c r="G191" s="18">
        <v>2020</v>
      </c>
      <c r="H191" s="135">
        <f>D191/IF(E191="S",_xlfn.XLOOKUP($G191,Tables_for_Reference!$J$15:$J$21,Tables_for_Reference!$I$15:$I$21),IF(ESG!$E191="W",_xlfn.XLOOKUP(ESG!$G191,Tables_for_Reference!$J$15:$J$21,Tables_for_Reference!$H$15:$H$21),"Error"))</f>
        <v>8.8743258925523939E-5</v>
      </c>
      <c r="I191" s="139">
        <f>$D191/IF($E191="S",_xlfn.XLOOKUP($G191,Tables_for_Reference!$J$24:$J$29,Tables_for_Reference!$I$24:$I$29),IF(ESG!E191="W",_xlfn.XLOOKUP(ESG!G191,Tables_for_Reference!$J$24:$J$29,Tables_for_Reference!$H$24:$H$29),"Error"))</f>
        <v>1.7244619347136399E-4</v>
      </c>
    </row>
    <row r="192" spans="1:9" ht="26" x14ac:dyDescent="0.2">
      <c r="A192" s="25" t="s">
        <v>296</v>
      </c>
      <c r="B192" s="14" t="s">
        <v>302</v>
      </c>
      <c r="C192" s="15" t="s">
        <v>169</v>
      </c>
      <c r="D192" s="94">
        <v>1.68</v>
      </c>
      <c r="E192" s="84" t="s">
        <v>526</v>
      </c>
      <c r="F192" s="24" t="s">
        <v>303</v>
      </c>
      <c r="G192" s="18">
        <v>2019</v>
      </c>
      <c r="H192" s="135">
        <f>D192/IF(E192="S",_xlfn.XLOOKUP($G192,Tables_for_Reference!$J$15:$J$21,Tables_for_Reference!$I$15:$I$21),IF(ESG!$E192="W",_xlfn.XLOOKUP(ESG!$G192,Tables_for_Reference!$J$15:$J$21,Tables_for_Reference!$H$15:$H$21),"Error"))</f>
        <v>9.1858494176827593E-5</v>
      </c>
      <c r="I192" s="139">
        <f>$D192/IF($E192="S",_xlfn.XLOOKUP($G192,Tables_for_Reference!$J$24:$J$29,Tables_for_Reference!$I$24:$I$29),IF(ESG!E192="W",_xlfn.XLOOKUP(ESG!G192,Tables_for_Reference!$J$24:$J$29,Tables_for_Reference!$H$24:$H$29),"Error"))</f>
        <v>1.7878426698450536E-4</v>
      </c>
    </row>
    <row r="193" spans="1:9" x14ac:dyDescent="0.2">
      <c r="A193" s="25" t="s">
        <v>296</v>
      </c>
      <c r="B193" s="14" t="s">
        <v>297</v>
      </c>
      <c r="C193" s="15" t="s">
        <v>142</v>
      </c>
      <c r="D193" s="93">
        <v>50017</v>
      </c>
      <c r="E193" s="84" t="s">
        <v>526</v>
      </c>
      <c r="F193" s="24" t="s">
        <v>298</v>
      </c>
      <c r="G193" s="18">
        <v>2024</v>
      </c>
      <c r="H193" s="135">
        <f>D193/IF(E193="S",_xlfn.XLOOKUP($G193,Tables_for_Reference!$J$15:$J$21,Tables_for_Reference!$I$15:$I$21),IF(ESG!$E193="W",_xlfn.XLOOKUP(ESG!$G193,Tables_for_Reference!$J$15:$J$21,Tables_for_Reference!$H$15:$H$21),"Error"))</f>
        <v>3.6845095393469998</v>
      </c>
      <c r="I193" s="135">
        <f>$D193/IF($E193="S",_xlfn.XLOOKUP($G193,Tables_for_Reference!$J$24:$J$29,Tables_for_Reference!$I$24:$I$29),IF(ESG!E193="W",_xlfn.XLOOKUP(ESG!G193,Tables_for_Reference!$J$24:$J$29,Tables_for_Reference!$H$24:$H$29),"Error"))</f>
        <v>3.6058661790908397</v>
      </c>
    </row>
    <row r="194" spans="1:9" x14ac:dyDescent="0.2">
      <c r="A194" s="25" t="s">
        <v>296</v>
      </c>
      <c r="B194" s="22" t="s">
        <v>299</v>
      </c>
      <c r="C194" s="23" t="s">
        <v>300</v>
      </c>
      <c r="D194" s="96">
        <v>8785.0300000000007</v>
      </c>
      <c r="E194" s="84" t="s">
        <v>296</v>
      </c>
      <c r="F194" s="17" t="s">
        <v>549</v>
      </c>
      <c r="G194" s="18">
        <v>2019</v>
      </c>
      <c r="H194" s="135">
        <f>D194/IF(E194="S",_xlfn.XLOOKUP($G194,Tables_for_Reference!$J$15:$J$21,Tables_for_Reference!$I$15:$I$21),IF(ESG!$E194="W",_xlfn.XLOOKUP(ESG!$G194,Tables_for_Reference!$J$15:$J$21,Tables_for_Reference!$H$15:$H$21),"Error"))</f>
        <v>0.97093611847922201</v>
      </c>
      <c r="I194" s="135">
        <f>$D194/IF($E194="S",_xlfn.XLOOKUP($G194,Tables_for_Reference!$J$24:$J$29,Tables_for_Reference!$I$24:$I$29),IF(ESG!E194="W",_xlfn.XLOOKUP(ESG!G194,Tables_for_Reference!$J$24:$J$29,Tables_for_Reference!$H$24:$H$29),"Error"))</f>
        <v>1.0707444604246399</v>
      </c>
    </row>
    <row r="195" spans="1:9" x14ac:dyDescent="0.2">
      <c r="A195" s="25" t="s">
        <v>296</v>
      </c>
      <c r="B195" s="14" t="s">
        <v>297</v>
      </c>
      <c r="C195" s="15" t="s">
        <v>142</v>
      </c>
      <c r="D195" s="93">
        <v>54075</v>
      </c>
      <c r="E195" s="84" t="s">
        <v>526</v>
      </c>
      <c r="F195" s="24" t="s">
        <v>298</v>
      </c>
      <c r="G195" s="18">
        <v>2023</v>
      </c>
      <c r="H195" s="135">
        <f>D195/IF(E195="S",_xlfn.XLOOKUP($G195,Tables_for_Reference!$J$15:$J$21,Tables_for_Reference!$I$15:$I$21),IF(ESG!$E195="W",_xlfn.XLOOKUP(ESG!$G195,Tables_for_Reference!$J$15:$J$21,Tables_for_Reference!$H$15:$H$21),"Error"))</f>
        <v>2.6624815361890692</v>
      </c>
      <c r="I195" s="135">
        <f>$D195/IF($E195="S",_xlfn.XLOOKUP($G195,Tables_for_Reference!$J$24:$J$29,Tables_for_Reference!$I$24:$I$29),IF(ESG!E195="W",_xlfn.XLOOKUP(ESG!G195,Tables_for_Reference!$J$24:$J$29,Tables_for_Reference!$H$24:$H$29),"Error"))</f>
        <v>5.891100434683139</v>
      </c>
    </row>
    <row r="196" spans="1:9" ht="26" x14ac:dyDescent="0.2">
      <c r="A196" s="25" t="s">
        <v>296</v>
      </c>
      <c r="B196" s="14" t="s">
        <v>304</v>
      </c>
      <c r="C196" s="15" t="s">
        <v>183</v>
      </c>
      <c r="D196" s="91">
        <v>15</v>
      </c>
      <c r="E196" s="84" t="s">
        <v>296</v>
      </c>
      <c r="F196" s="24" t="s">
        <v>305</v>
      </c>
      <c r="G196" s="18">
        <v>2020</v>
      </c>
      <c r="H196" s="135">
        <f>D196/IF(E196="S",_xlfn.XLOOKUP($G196,Tables_for_Reference!$J$15:$J$21,Tables_for_Reference!$I$15:$I$21),IF(ESG!$E196="W",_xlfn.XLOOKUP(ESG!$G196,Tables_for_Reference!$J$15:$J$21,Tables_for_Reference!$H$15:$H$21),"Error"))</f>
        <v>1.7584994138335288E-3</v>
      </c>
      <c r="I196" s="135">
        <f>$D196/IF($E196="S",_xlfn.XLOOKUP($G196,Tables_for_Reference!$J$24:$J$29,Tables_for_Reference!$I$24:$I$29),IF(ESG!E196="W",_xlfn.XLOOKUP(ESG!G196,Tables_for_Reference!$J$24:$J$29,Tables_for_Reference!$H$24:$H$29),"Error"))</f>
        <v>1.5154270473419409E-3</v>
      </c>
    </row>
    <row r="197" spans="1:9" x14ac:dyDescent="0.2">
      <c r="A197" s="25" t="s">
        <v>296</v>
      </c>
      <c r="B197" s="14" t="s">
        <v>297</v>
      </c>
      <c r="C197" s="15" t="s">
        <v>142</v>
      </c>
      <c r="D197" s="93">
        <v>49536</v>
      </c>
      <c r="E197" s="84" t="s">
        <v>526</v>
      </c>
      <c r="F197" s="24" t="s">
        <v>298</v>
      </c>
      <c r="G197" s="18">
        <v>2022</v>
      </c>
      <c r="H197" s="135">
        <f>D197/IF(E197="S",_xlfn.XLOOKUP($G197,Tables_for_Reference!$J$15:$J$21,Tables_for_Reference!$I$15:$I$21),IF(ESG!$E197="W",_xlfn.XLOOKUP(ESG!$G197,Tables_for_Reference!$J$15:$J$21,Tables_for_Reference!$H$15:$H$21),"Error"))</f>
        <v>2.3303930562416202</v>
      </c>
      <c r="I197" s="135">
        <f>$D197/IF($E197="S",_xlfn.XLOOKUP($G197,Tables_for_Reference!$J$24:$J$29,Tables_for_Reference!$I$24:$I$29),IF(ESG!E197="W",_xlfn.XLOOKUP(ESG!G197,Tables_for_Reference!$J$24:$J$29,Tables_for_Reference!$H$24:$H$29),"Error"))</f>
        <v>6.3035732464623848</v>
      </c>
    </row>
    <row r="198" spans="1:9" x14ac:dyDescent="0.2">
      <c r="A198" s="25" t="s">
        <v>296</v>
      </c>
      <c r="B198" s="14" t="s">
        <v>297</v>
      </c>
      <c r="C198" s="15" t="s">
        <v>142</v>
      </c>
      <c r="D198" s="93">
        <v>46688</v>
      </c>
      <c r="E198" s="84" t="s">
        <v>296</v>
      </c>
      <c r="F198" s="24" t="s">
        <v>298</v>
      </c>
      <c r="G198" s="18">
        <v>2020</v>
      </c>
      <c r="H198" s="135">
        <f>D198/IF(E198="S",_xlfn.XLOOKUP($G198,Tables_for_Reference!$J$15:$J$21,Tables_for_Reference!$I$15:$I$21),IF(ESG!$E198="W",_xlfn.XLOOKUP(ESG!$G198,Tables_for_Reference!$J$15:$J$21,Tables_for_Reference!$H$15:$H$21),"Error"))</f>
        <v>5.473388042203986</v>
      </c>
      <c r="I198" s="135">
        <f>$D198/IF($E198="S",_xlfn.XLOOKUP($G198,Tables_for_Reference!$J$24:$J$29,Tables_for_Reference!$I$24:$I$29),IF(ESG!E198="W",_xlfn.XLOOKUP(ESG!G198,Tables_for_Reference!$J$24:$J$29,Tables_for_Reference!$H$24:$H$29),"Error"))</f>
        <v>4.7168171990867025</v>
      </c>
    </row>
    <row r="199" spans="1:9" x14ac:dyDescent="0.2">
      <c r="A199" s="25" t="s">
        <v>296</v>
      </c>
      <c r="B199" s="14" t="s">
        <v>297</v>
      </c>
      <c r="C199" s="15" t="s">
        <v>142</v>
      </c>
      <c r="D199" s="93">
        <v>49257</v>
      </c>
      <c r="E199" s="84" t="s">
        <v>526</v>
      </c>
      <c r="F199" s="24" t="s">
        <v>298</v>
      </c>
      <c r="G199" s="18">
        <v>2021</v>
      </c>
      <c r="H199" s="135">
        <f>D199/IF(E199="S",_xlfn.XLOOKUP($G199,Tables_for_Reference!$J$15:$J$21,Tables_for_Reference!$I$15:$I$21),IF(ESG!$E199="W",_xlfn.XLOOKUP(ESG!$G199,Tables_for_Reference!$J$15:$J$21,Tables_for_Reference!$H$15:$H$21),"Error"))</f>
        <v>2.6275865379999042</v>
      </c>
      <c r="I199" s="135">
        <f>$D199/IF($E199="S",_xlfn.XLOOKUP($G199,Tables_for_Reference!$J$24:$J$29,Tables_for_Reference!$I$24:$I$29),IF(ESG!E199="W",_xlfn.XLOOKUP(ESG!G199,Tables_for_Reference!$J$24:$J$29,Tables_for_Reference!$H$24:$H$29),"Error"))</f>
        <v>3.7301779628928435</v>
      </c>
    </row>
    <row r="200" spans="1:9" ht="26" x14ac:dyDescent="0.2">
      <c r="A200" s="25" t="s">
        <v>296</v>
      </c>
      <c r="B200" s="14" t="s">
        <v>302</v>
      </c>
      <c r="C200" s="15" t="s">
        <v>169</v>
      </c>
      <c r="D200" s="91">
        <v>0.6</v>
      </c>
      <c r="E200" s="84" t="s">
        <v>296</v>
      </c>
      <c r="F200" s="24" t="s">
        <v>303</v>
      </c>
      <c r="G200" s="18">
        <v>2020</v>
      </c>
      <c r="H200" s="135">
        <f>D200/IF(E200="S",_xlfn.XLOOKUP($G200,Tables_for_Reference!$J$15:$J$21,Tables_for_Reference!$I$15:$I$21),IF(ESG!$E200="W",_xlfn.XLOOKUP(ESG!$G200,Tables_for_Reference!$J$15:$J$21,Tables_for_Reference!$H$15:$H$21),"Error"))</f>
        <v>7.0339976553341141E-5</v>
      </c>
      <c r="I200" s="135">
        <f>$D200/IF($E200="S",_xlfn.XLOOKUP($G200,Tables_for_Reference!$J$24:$J$29,Tables_for_Reference!$I$24:$I$29),IF(ESG!E200="W",_xlfn.XLOOKUP(ESG!G200,Tables_for_Reference!$J$24:$J$29,Tables_for_Reference!$H$24:$H$29),"Error"))</f>
        <v>6.0617081893677629E-5</v>
      </c>
    </row>
    <row r="201" spans="1:9" x14ac:dyDescent="0.2">
      <c r="A201" s="25" t="s">
        <v>296</v>
      </c>
      <c r="B201" s="14" t="s">
        <v>297</v>
      </c>
      <c r="C201" s="15" t="s">
        <v>142</v>
      </c>
      <c r="D201" s="93">
        <v>49300</v>
      </c>
      <c r="E201" s="84" t="s">
        <v>526</v>
      </c>
      <c r="F201" s="24" t="s">
        <v>298</v>
      </c>
      <c r="G201" s="18">
        <v>2020</v>
      </c>
      <c r="H201" s="135">
        <f>D201/IF(E201="S",_xlfn.XLOOKUP($G201,Tables_for_Reference!$J$15:$J$21,Tables_for_Reference!$I$15:$I$21),IF(ESG!$E201="W",_xlfn.XLOOKUP(ESG!$G201,Tables_for_Reference!$J$15:$J$21,Tables_for_Reference!$H$15:$H$21),"Error"))</f>
        <v>2.8045145288643138</v>
      </c>
      <c r="I201" s="135">
        <f>$D201/IF($E201="S",_xlfn.XLOOKUP($G201,Tables_for_Reference!$J$24:$J$29,Tables_for_Reference!$I$24:$I$29),IF(ESG!E201="W",_xlfn.XLOOKUP(ESG!G201,Tables_for_Reference!$J$24:$J$29,Tables_for_Reference!$H$24:$H$29),"Error"))</f>
        <v>5.449741883421952</v>
      </c>
    </row>
    <row r="202" spans="1:9" x14ac:dyDescent="0.2">
      <c r="A202" s="25" t="s">
        <v>296</v>
      </c>
      <c r="B202" s="14" t="s">
        <v>304</v>
      </c>
      <c r="C202" s="15" t="s">
        <v>531</v>
      </c>
      <c r="D202" s="93">
        <v>5162891184</v>
      </c>
      <c r="E202" s="84" t="s">
        <v>296</v>
      </c>
      <c r="F202" s="24" t="s">
        <v>532</v>
      </c>
      <c r="G202" s="18">
        <v>2020</v>
      </c>
      <c r="H202" s="135">
        <f>D202/IF(E202="S",_xlfn.XLOOKUP($G202,Tables_for_Reference!$J$15:$J$21,Tables_for_Reference!$I$15:$I$21),IF(ESG!$E202="W",_xlfn.XLOOKUP(ESG!$G202,Tables_for_Reference!$J$15:$J$21,Tables_for_Reference!$H$15:$H$21),"Error"))</f>
        <v>605262.7413833529</v>
      </c>
      <c r="I202" s="135">
        <f>$D202/IF($E202="S",_xlfn.XLOOKUP($G202,Tables_for_Reference!$J$24:$J$29,Tables_for_Reference!$I$24:$I$29),IF(ESG!E202="W",_xlfn.XLOOKUP(ESG!G202,Tables_for_Reference!$J$24:$J$29,Tables_for_Reference!$H$24:$H$29),"Error"))</f>
        <v>521598.99618112377</v>
      </c>
    </row>
    <row r="203" spans="1:9" x14ac:dyDescent="0.2">
      <c r="A203" s="25" t="s">
        <v>296</v>
      </c>
      <c r="B203" s="22" t="s">
        <v>297</v>
      </c>
      <c r="C203" s="23" t="s">
        <v>533</v>
      </c>
      <c r="D203" s="91">
        <v>4017</v>
      </c>
      <c r="E203" s="84" t="s">
        <v>296</v>
      </c>
      <c r="F203" s="17" t="s">
        <v>549</v>
      </c>
      <c r="G203" s="18">
        <v>2020</v>
      </c>
      <c r="H203" s="135">
        <f>D203/IF(E203="S",_xlfn.XLOOKUP($G203,Tables_for_Reference!$J$15:$J$21,Tables_for_Reference!$I$15:$I$21),IF(ESG!$E203="W",_xlfn.XLOOKUP(ESG!$G203,Tables_for_Reference!$J$15:$J$21,Tables_for_Reference!$H$15:$H$21),"Error"))</f>
        <v>0.47092614302461899</v>
      </c>
      <c r="I203" s="135">
        <f>$D203/IF($E203="S",_xlfn.XLOOKUP($G203,Tables_for_Reference!$J$24:$J$29,Tables_for_Reference!$I$24:$I$29),IF(ESG!E203="W",_xlfn.XLOOKUP(ESG!G203,Tables_for_Reference!$J$24:$J$29,Tables_for_Reference!$H$24:$H$29),"Error"))</f>
        <v>0.40583136327817176</v>
      </c>
    </row>
    <row r="204" spans="1:9" x14ac:dyDescent="0.2">
      <c r="A204" s="25" t="s">
        <v>296</v>
      </c>
      <c r="B204" s="14" t="s">
        <v>299</v>
      </c>
      <c r="C204" s="15" t="s">
        <v>301</v>
      </c>
      <c r="D204" s="95">
        <v>0.22</v>
      </c>
      <c r="E204" s="84" t="s">
        <v>296</v>
      </c>
      <c r="F204" s="24" t="s">
        <v>99</v>
      </c>
      <c r="G204" s="18">
        <v>2020</v>
      </c>
      <c r="H204" s="135">
        <f>D204/IF(E204="S",_xlfn.XLOOKUP($G204,Tables_for_Reference!$J$15:$J$21,Tables_for_Reference!$I$15:$I$21),IF(ESG!$E204="W",_xlfn.XLOOKUP(ESG!$G204,Tables_for_Reference!$J$15:$J$21,Tables_for_Reference!$H$15:$H$21),"Error"))</f>
        <v>2.5791324736225087E-5</v>
      </c>
      <c r="I204" s="135">
        <f>$D204/IF($E204="S",_xlfn.XLOOKUP($G204,Tables_for_Reference!$J$24:$J$29,Tables_for_Reference!$I$24:$I$29),IF(ESG!E204="W",_xlfn.XLOOKUP(ESG!G204,Tables_for_Reference!$J$24:$J$29,Tables_for_Reference!$H$24:$H$29),"Error"))</f>
        <v>2.2226263361015132E-5</v>
      </c>
    </row>
    <row r="205" spans="1:9" x14ac:dyDescent="0.2">
      <c r="A205" s="25" t="s">
        <v>296</v>
      </c>
      <c r="B205" s="22" t="s">
        <v>299</v>
      </c>
      <c r="C205" s="23" t="s">
        <v>300</v>
      </c>
      <c r="D205" s="96">
        <v>8870.7199999999993</v>
      </c>
      <c r="E205" s="84" t="s">
        <v>296</v>
      </c>
      <c r="F205" s="17" t="s">
        <v>549</v>
      </c>
      <c r="G205" s="18">
        <v>2020</v>
      </c>
      <c r="H205" s="135">
        <f>D205/IF(E205="S",_xlfn.XLOOKUP($G205,Tables_for_Reference!$J$15:$J$21,Tables_for_Reference!$I$15:$I$21),IF(ESG!$E205="W",_xlfn.XLOOKUP(ESG!$G205,Tables_for_Reference!$J$15:$J$21,Tables_for_Reference!$H$15:$H$21),"Error"))</f>
        <v>1.0399437280187573</v>
      </c>
      <c r="I205" s="135">
        <f>$D205/IF($E205="S",_xlfn.XLOOKUP($G205,Tables_for_Reference!$J$24:$J$29,Tables_for_Reference!$I$24:$I$29),IF(ESG!E205="W",_xlfn.XLOOKUP(ESG!G205,Tables_for_Reference!$J$24:$J$29,Tables_for_Reference!$H$24:$H$29),"Error"))</f>
        <v>0.89619526782647341</v>
      </c>
    </row>
    <row r="206" spans="1:9" x14ac:dyDescent="0.2">
      <c r="A206" s="25" t="s">
        <v>296</v>
      </c>
      <c r="B206" s="14" t="s">
        <v>304</v>
      </c>
      <c r="C206" s="90" t="s">
        <v>183</v>
      </c>
      <c r="D206" s="91">
        <v>18.7</v>
      </c>
      <c r="E206" s="84" t="s">
        <v>296</v>
      </c>
      <c r="F206" s="24" t="s">
        <v>305</v>
      </c>
      <c r="G206" s="18">
        <v>2021</v>
      </c>
      <c r="H206" s="135">
        <f>D206/IF(E206="S",_xlfn.XLOOKUP($G206,Tables_for_Reference!$J$15:$J$21,Tables_for_Reference!$I$15:$I$21),IF(ESG!$E206="W",_xlfn.XLOOKUP(ESG!$G206,Tables_for_Reference!$J$15:$J$21,Tables_for_Reference!$H$15:$H$21),"Error"))</f>
        <v>1.8502028297219747E-3</v>
      </c>
      <c r="I206" s="135">
        <f>$D206/IF($E206="S",_xlfn.XLOOKUP($G206,Tables_for_Reference!$J$24:$J$29,Tables_for_Reference!$I$24:$I$29),IF(ESG!E206="W",_xlfn.XLOOKUP(ESG!G206,Tables_for_Reference!$J$24:$J$29,Tables_for_Reference!$H$24:$H$29),"Error"))</f>
        <v>1.4968981388833299E-3</v>
      </c>
    </row>
    <row r="207" spans="1:9" x14ac:dyDescent="0.2">
      <c r="A207" s="25" t="s">
        <v>296</v>
      </c>
      <c r="B207" s="14" t="s">
        <v>297</v>
      </c>
      <c r="C207" s="15" t="s">
        <v>142</v>
      </c>
      <c r="D207" s="93">
        <v>48045</v>
      </c>
      <c r="E207" s="84" t="s">
        <v>296</v>
      </c>
      <c r="F207" s="24" t="s">
        <v>298</v>
      </c>
      <c r="G207" s="18">
        <v>2021</v>
      </c>
      <c r="H207" s="135">
        <f>D207/IF(E207="S",_xlfn.XLOOKUP($G207,Tables_for_Reference!$J$15:$J$21,Tables_for_Reference!$I$15:$I$21),IF(ESG!$E207="W",_xlfn.XLOOKUP(ESG!$G207,Tables_for_Reference!$J$15:$J$21,Tables_for_Reference!$H$15:$H$21),"Error"))</f>
        <v>4.7536360937963789</v>
      </c>
      <c r="I207" s="135">
        <f>$D207/IF($E207="S",_xlfn.XLOOKUP($G207,Tables_for_Reference!$J$24:$J$29,Tables_for_Reference!$I$24:$I$29),IF(ESG!E207="W",_xlfn.XLOOKUP(ESG!G207,Tables_for_Reference!$J$24:$J$29,Tables_for_Reference!$H$24:$H$29),"Error"))</f>
        <v>3.8459075445267161</v>
      </c>
    </row>
    <row r="208" spans="1:9" ht="26" x14ac:dyDescent="0.2">
      <c r="A208" s="25" t="s">
        <v>296</v>
      </c>
      <c r="B208" s="14" t="s">
        <v>302</v>
      </c>
      <c r="C208" s="15" t="s">
        <v>169</v>
      </c>
      <c r="D208" s="91">
        <v>0.59</v>
      </c>
      <c r="E208" s="84" t="s">
        <v>296</v>
      </c>
      <c r="F208" s="24" t="s">
        <v>303</v>
      </c>
      <c r="G208" s="18">
        <v>2021</v>
      </c>
      <c r="H208" s="135">
        <f>D208/IF(E208="S",_xlfn.XLOOKUP($G208,Tables_for_Reference!$J$15:$J$21,Tables_for_Reference!$I$15:$I$21),IF(ESG!$E208="W",_xlfn.XLOOKUP(ESG!$G208,Tables_for_Reference!$J$15:$J$21,Tables_for_Reference!$H$15:$H$21),"Error"))</f>
        <v>5.8375383397645191E-5</v>
      </c>
      <c r="I208" s="135">
        <f>$D208/IF($E208="S",_xlfn.XLOOKUP($G208,Tables_for_Reference!$J$24:$J$29,Tables_for_Reference!$I$24:$I$29),IF(ESG!E208="W",_xlfn.XLOOKUP(ESG!G208,Tables_for_Reference!$J$24:$J$29,Tables_for_Reference!$H$24:$H$29),"Error"))</f>
        <v>4.7228337002201321E-5</v>
      </c>
    </row>
    <row r="209" spans="1:9" x14ac:dyDescent="0.2">
      <c r="A209" s="25" t="s">
        <v>296</v>
      </c>
      <c r="B209" s="14" t="s">
        <v>304</v>
      </c>
      <c r="C209" s="15" t="s">
        <v>531</v>
      </c>
      <c r="D209" s="93">
        <v>506.14199999999994</v>
      </c>
      <c r="E209" s="84" t="s">
        <v>296</v>
      </c>
      <c r="F209" s="24" t="s">
        <v>532</v>
      </c>
      <c r="G209" s="18">
        <v>2021</v>
      </c>
      <c r="H209" s="135">
        <f>D209/IF(E209="S",_xlfn.XLOOKUP($G209,Tables_for_Reference!$J$15:$J$21,Tables_for_Reference!$I$15:$I$21),IF(ESG!$E209="W",_xlfn.XLOOKUP(ESG!$G209,Tables_for_Reference!$J$15:$J$21,Tables_for_Reference!$H$15:$H$21),"Error"))</f>
        <v>5.0078361531611749E-2</v>
      </c>
      <c r="I209" s="135">
        <f>$D209/IF($E209="S",_xlfn.XLOOKUP($G209,Tables_for_Reference!$J$24:$J$29,Tables_for_Reference!$I$24:$I$29),IF(ESG!E209="W",_xlfn.XLOOKUP(ESG!G209,Tables_for_Reference!$J$24:$J$29,Tables_for_Reference!$H$24:$H$29),"Error"))</f>
        <v>4.0515669401640982E-2</v>
      </c>
    </row>
    <row r="210" spans="1:9" x14ac:dyDescent="0.2">
      <c r="A210" s="25" t="s">
        <v>296</v>
      </c>
      <c r="B210" s="14" t="s">
        <v>304</v>
      </c>
      <c r="C210" s="15" t="s">
        <v>531</v>
      </c>
      <c r="D210" s="93">
        <v>602035</v>
      </c>
      <c r="E210" s="84" t="s">
        <v>526</v>
      </c>
      <c r="F210" s="24" t="s">
        <v>532</v>
      </c>
      <c r="G210" s="18">
        <v>2024</v>
      </c>
      <c r="H210" s="135">
        <f>D210/IF(E210="S",_xlfn.XLOOKUP($G210,Tables_for_Reference!$J$15:$J$21,Tables_for_Reference!$I$15:$I$21),IF(ESG!$E210="W",_xlfn.XLOOKUP(ESG!$G210,Tables_for_Reference!$J$15:$J$21,Tables_for_Reference!$H$15:$H$21),"Error"))</f>
        <v>44.348995351995747</v>
      </c>
      <c r="I210" s="135">
        <f>$D210/IF($E210="S",_xlfn.XLOOKUP($G210,Tables_for_Reference!$J$24:$J$29,Tables_for_Reference!$I$24:$I$29),IF(ESG!E210="W",_xlfn.XLOOKUP(ESG!G210,Tables_for_Reference!$J$24:$J$29,Tables_for_Reference!$H$24:$H$29),"Error"))</f>
        <v>43.402396087909182</v>
      </c>
    </row>
    <row r="211" spans="1:9" x14ac:dyDescent="0.2">
      <c r="A211" s="25" t="s">
        <v>296</v>
      </c>
      <c r="B211" s="14" t="s">
        <v>304</v>
      </c>
      <c r="C211" s="15" t="s">
        <v>531</v>
      </c>
      <c r="D211" s="93">
        <v>557244</v>
      </c>
      <c r="E211" s="84" t="s">
        <v>526</v>
      </c>
      <c r="F211" s="24" t="s">
        <v>532</v>
      </c>
      <c r="G211" s="18">
        <v>2023</v>
      </c>
      <c r="H211" s="135">
        <f>D211/IF(E211="S",_xlfn.XLOOKUP($G211,Tables_for_Reference!$J$15:$J$21,Tables_for_Reference!$I$15:$I$21),IF(ESG!$E211="W",_xlfn.XLOOKUP(ESG!$G211,Tables_for_Reference!$J$15:$J$21,Tables_for_Reference!$H$15:$H$21),"Error"))</f>
        <v>27.436927621861152</v>
      </c>
      <c r="I211" s="135">
        <f>$D211/IF($E211="S",_xlfn.XLOOKUP($G211,Tables_for_Reference!$J$24:$J$29,Tables_for_Reference!$I$24:$I$29),IF(ESG!E211="W",_xlfn.XLOOKUP(ESG!G211,Tables_for_Reference!$J$24:$J$29,Tables_for_Reference!$H$24:$H$29),"Error"))</f>
        <v>60.707912540445136</v>
      </c>
    </row>
    <row r="212" spans="1:9" x14ac:dyDescent="0.2">
      <c r="A212" s="25" t="s">
        <v>296</v>
      </c>
      <c r="B212" s="14" t="s">
        <v>304</v>
      </c>
      <c r="C212" s="15" t="s">
        <v>531</v>
      </c>
      <c r="D212" s="93">
        <v>335505</v>
      </c>
      <c r="E212" s="84" t="s">
        <v>526</v>
      </c>
      <c r="F212" s="24" t="s">
        <v>532</v>
      </c>
      <c r="G212" s="18">
        <v>2022</v>
      </c>
      <c r="H212" s="135">
        <f>D212/IF(E212="S",_xlfn.XLOOKUP($G212,Tables_for_Reference!$J$15:$J$21,Tables_for_Reference!$I$15:$I$21),IF(ESG!$E212="W",_xlfn.XLOOKUP(ESG!$G212,Tables_for_Reference!$J$15:$J$21,Tables_for_Reference!$H$15:$H$21),"Error"))</f>
        <v>15.783642650483381</v>
      </c>
      <c r="I212" s="135">
        <f>$D212/IF($E212="S",_xlfn.XLOOKUP($G212,Tables_for_Reference!$J$24:$J$29,Tables_for_Reference!$I$24:$I$29),IF(ESG!E212="W",_xlfn.XLOOKUP(ESG!G212,Tables_for_Reference!$J$24:$J$29,Tables_for_Reference!$H$24:$H$29),"Error"))</f>
        <v>42.693805354779599</v>
      </c>
    </row>
    <row r="213" spans="1:9" x14ac:dyDescent="0.2">
      <c r="A213" s="25" t="s">
        <v>296</v>
      </c>
      <c r="B213" s="14" t="s">
        <v>304</v>
      </c>
      <c r="C213" s="15" t="s">
        <v>531</v>
      </c>
      <c r="D213" s="93">
        <v>347459</v>
      </c>
      <c r="E213" s="84" t="s">
        <v>526</v>
      </c>
      <c r="F213" s="24" t="s">
        <v>532</v>
      </c>
      <c r="G213" s="18">
        <v>2021</v>
      </c>
      <c r="H213" s="135">
        <f>D213/IF(E213="S",_xlfn.XLOOKUP($G213,Tables_for_Reference!$J$15:$J$21,Tables_for_Reference!$I$15:$I$21),IF(ESG!$E213="W",_xlfn.XLOOKUP(ESG!$G213,Tables_for_Reference!$J$15:$J$21,Tables_for_Reference!$H$15:$H$21),"Error"))</f>
        <v>18.53500194707166</v>
      </c>
      <c r="I213" s="135">
        <f>$D213/IF($E213="S",_xlfn.XLOOKUP($G213,Tables_for_Reference!$J$24:$J$29,Tables_for_Reference!$I$24:$I$29),IF(ESG!E213="W",_xlfn.XLOOKUP(ESG!G213,Tables_for_Reference!$J$24:$J$29,Tables_for_Reference!$H$24:$H$29),"Error"))</f>
        <v>26.312684589170768</v>
      </c>
    </row>
    <row r="214" spans="1:9" x14ac:dyDescent="0.2">
      <c r="A214" s="25" t="s">
        <v>296</v>
      </c>
      <c r="B214" s="14" t="s">
        <v>304</v>
      </c>
      <c r="C214" s="15" t="s">
        <v>531</v>
      </c>
      <c r="D214" s="93">
        <v>255410</v>
      </c>
      <c r="E214" s="84" t="s">
        <v>526</v>
      </c>
      <c r="F214" s="24" t="s">
        <v>532</v>
      </c>
      <c r="G214" s="18">
        <v>2020</v>
      </c>
      <c r="H214" s="135">
        <f>D214/IF(E214="S",_xlfn.XLOOKUP($G214,Tables_for_Reference!$J$15:$J$21,Tables_for_Reference!$I$15:$I$21),IF(ESG!$E214="W",_xlfn.XLOOKUP(ESG!$G214,Tables_for_Reference!$J$15:$J$21,Tables_for_Reference!$H$15:$H$21),"Error"))</f>
        <v>14.529433180876966</v>
      </c>
      <c r="I214" s="135">
        <f>$D214/IF($E214="S",_xlfn.XLOOKUP($G214,Tables_for_Reference!$J$24:$J$29,Tables_for_Reference!$I$24:$I$29),IF(ESG!E214="W",_xlfn.XLOOKUP(ESG!G214,Tables_for_Reference!$J$24:$J$29,Tables_for_Reference!$H$24:$H$29),"Error"))</f>
        <v>28.233642483667357</v>
      </c>
    </row>
    <row r="215" spans="1:9" x14ac:dyDescent="0.2">
      <c r="A215" s="25" t="s">
        <v>296</v>
      </c>
      <c r="B215" s="22" t="s">
        <v>297</v>
      </c>
      <c r="C215" s="23" t="s">
        <v>533</v>
      </c>
      <c r="D215" s="91">
        <v>4919</v>
      </c>
      <c r="E215" s="84" t="s">
        <v>296</v>
      </c>
      <c r="F215" s="17" t="s">
        <v>549</v>
      </c>
      <c r="G215" s="18">
        <v>2021</v>
      </c>
      <c r="H215" s="135">
        <f>D215/IF(E215="S",_xlfn.XLOOKUP($G215,Tables_for_Reference!$J$15:$J$21,Tables_for_Reference!$I$15:$I$21),IF(ESG!$E215="W",_xlfn.XLOOKUP(ESG!$G215,Tables_for_Reference!$J$15:$J$21,Tables_for_Reference!$H$15:$H$21),"Error"))</f>
        <v>0.48669239141189274</v>
      </c>
      <c r="I215" s="135">
        <f>$D215/IF($E215="S",_xlfn.XLOOKUP($G215,Tables_for_Reference!$J$24:$J$29,Tables_for_Reference!$I$24:$I$29),IF(ESG!E215="W",_xlfn.XLOOKUP(ESG!G215,Tables_for_Reference!$J$24:$J$29,Tables_for_Reference!$H$24:$H$29),"Error"))</f>
        <v>0.39375625375225137</v>
      </c>
    </row>
    <row r="216" spans="1:9" x14ac:dyDescent="0.2">
      <c r="A216" s="25" t="s">
        <v>296</v>
      </c>
      <c r="B216" s="14" t="s">
        <v>299</v>
      </c>
      <c r="C216" s="15" t="s">
        <v>301</v>
      </c>
      <c r="D216" s="95">
        <v>0.22</v>
      </c>
      <c r="E216" s="84" t="s">
        <v>296</v>
      </c>
      <c r="F216" s="24" t="s">
        <v>99</v>
      </c>
      <c r="G216" s="18">
        <v>2021</v>
      </c>
      <c r="H216" s="135">
        <f>D216/IF(E216="S",_xlfn.XLOOKUP($G216,Tables_for_Reference!$J$15:$J$21,Tables_for_Reference!$I$15:$I$21),IF(ESG!$E216="W",_xlfn.XLOOKUP(ESG!$G216,Tables_for_Reference!$J$15:$J$21,Tables_for_Reference!$H$15:$H$21),"Error"))</f>
        <v>2.1767092114376175E-5</v>
      </c>
      <c r="I216" s="135">
        <f>$D216/IF($E216="S",_xlfn.XLOOKUP($G216,Tables_for_Reference!$J$24:$J$29,Tables_for_Reference!$I$24:$I$29),IF(ESG!E216="W",_xlfn.XLOOKUP(ESG!G216,Tables_for_Reference!$J$24:$J$29,Tables_for_Reference!$H$24:$H$29),"Error"))</f>
        <v>1.7610566339803883E-5</v>
      </c>
    </row>
    <row r="217" spans="1:9" x14ac:dyDescent="0.2">
      <c r="A217" s="25" t="s">
        <v>296</v>
      </c>
      <c r="B217" s="22" t="s">
        <v>299</v>
      </c>
      <c r="C217" s="23" t="s">
        <v>300</v>
      </c>
      <c r="D217" s="96">
        <v>9609</v>
      </c>
      <c r="E217" s="84" t="s">
        <v>296</v>
      </c>
      <c r="F217" s="17" t="s">
        <v>549</v>
      </c>
      <c r="G217" s="18">
        <v>2021</v>
      </c>
      <c r="H217" s="135">
        <f>D217/IF(E217="S",_xlfn.XLOOKUP($G217,Tables_for_Reference!$J$15:$J$21,Tables_for_Reference!$I$15:$I$21),IF(ESG!$E217="W",_xlfn.XLOOKUP(ESG!$G217,Tables_for_Reference!$J$15:$J$21,Tables_for_Reference!$H$15:$H$21),"Error"))</f>
        <v>0.95072721875927579</v>
      </c>
      <c r="I217" s="135">
        <f>$D217/IF($E217="S",_xlfn.XLOOKUP($G217,Tables_for_Reference!$J$24:$J$29,Tables_for_Reference!$I$24:$I$29),IF(ESG!E217="W",_xlfn.XLOOKUP(ESG!G217,Tables_for_Reference!$J$24:$J$29,Tables_for_Reference!$H$24:$H$29),"Error"))</f>
        <v>0.7691815089053432</v>
      </c>
    </row>
    <row r="218" spans="1:9" ht="26" x14ac:dyDescent="0.2">
      <c r="A218" s="25" t="s">
        <v>296</v>
      </c>
      <c r="B218" s="14" t="s">
        <v>304</v>
      </c>
      <c r="C218" s="15" t="s">
        <v>183</v>
      </c>
      <c r="D218" s="91">
        <v>21</v>
      </c>
      <c r="E218" s="84" t="s">
        <v>296</v>
      </c>
      <c r="F218" s="24" t="s">
        <v>305</v>
      </c>
      <c r="G218" s="18">
        <v>2022</v>
      </c>
      <c r="H218" s="135">
        <f>D218/IF(E218="S",_xlfn.XLOOKUP($G218,Tables_for_Reference!$J$15:$J$21,Tables_for_Reference!$I$15:$I$21),IF(ESG!$E218="W",_xlfn.XLOOKUP(ESG!$G218,Tables_for_Reference!$J$15:$J$21,Tables_for_Reference!$H$15:$H$21),"Error"))</f>
        <v>1.6387046429964885E-3</v>
      </c>
      <c r="I218" s="135">
        <f>$D218/IF($E218="S",_xlfn.XLOOKUP($G218,Tables_for_Reference!$J$24:$J$29,Tables_for_Reference!$I$24:$I$29),IF(ESG!E218="W",_xlfn.XLOOKUP(ESG!G218,Tables_for_Reference!$J$24:$J$29,Tables_for_Reference!$H$24:$H$29),"Error"))</f>
        <v>2.337228714524207E-3</v>
      </c>
    </row>
    <row r="219" spans="1:9" x14ac:dyDescent="0.2">
      <c r="A219" s="25" t="s">
        <v>296</v>
      </c>
      <c r="B219" s="14" t="s">
        <v>297</v>
      </c>
      <c r="C219" s="15" t="s">
        <v>142</v>
      </c>
      <c r="D219" s="93">
        <v>48058</v>
      </c>
      <c r="E219" s="84" t="s">
        <v>296</v>
      </c>
      <c r="F219" s="24" t="s">
        <v>298</v>
      </c>
      <c r="G219" s="18">
        <v>2022</v>
      </c>
      <c r="H219" s="135">
        <f>D219/IF(E219="S",_xlfn.XLOOKUP($G219,Tables_for_Reference!$J$15:$J$21,Tables_for_Reference!$I$15:$I$21),IF(ESG!$E219="W",_xlfn.XLOOKUP(ESG!$G219,Tables_for_Reference!$J$15:$J$21,Tables_for_Reference!$H$15:$H$21),"Error"))</f>
        <v>3.7501365587202495</v>
      </c>
      <c r="I219" s="135">
        <f>$D219/IF($E219="S",_xlfn.XLOOKUP($G219,Tables_for_Reference!$J$24:$J$29,Tables_for_Reference!$I$24:$I$29),IF(ESG!E219="W",_xlfn.XLOOKUP(ESG!G219,Tables_for_Reference!$J$24:$J$29,Tables_for_Reference!$H$24:$H$29),"Error"))</f>
        <v>5.348692264885921</v>
      </c>
    </row>
    <row r="220" spans="1:9" ht="26" x14ac:dyDescent="0.2">
      <c r="A220" s="25" t="s">
        <v>296</v>
      </c>
      <c r="B220" s="14" t="s">
        <v>302</v>
      </c>
      <c r="C220" s="15" t="s">
        <v>169</v>
      </c>
      <c r="D220" s="91">
        <v>0.51</v>
      </c>
      <c r="E220" s="84" t="s">
        <v>296</v>
      </c>
      <c r="F220" s="24" t="s">
        <v>303</v>
      </c>
      <c r="G220" s="18">
        <v>2022</v>
      </c>
      <c r="H220" s="135">
        <f>D220/IF(E220="S",_xlfn.XLOOKUP($G220,Tables_for_Reference!$J$15:$J$21,Tables_for_Reference!$I$15:$I$21),IF(ESG!$E220="W",_xlfn.XLOOKUP(ESG!$G220,Tables_for_Reference!$J$15:$J$21,Tables_for_Reference!$H$15:$H$21),"Error"))</f>
        <v>3.9797112758486147E-5</v>
      </c>
      <c r="I220" s="135">
        <f>$D220/IF($E220="S",_xlfn.XLOOKUP($G220,Tables_for_Reference!$J$24:$J$29,Tables_for_Reference!$I$24:$I$29),IF(ESG!E220="W",_xlfn.XLOOKUP(ESG!G220,Tables_for_Reference!$J$24:$J$29,Tables_for_Reference!$H$24:$H$29),"Error"))</f>
        <v>5.6761268781302168E-5</v>
      </c>
    </row>
    <row r="221" spans="1:9" x14ac:dyDescent="0.2">
      <c r="A221" s="25" t="s">
        <v>296</v>
      </c>
      <c r="B221" s="22" t="s">
        <v>297</v>
      </c>
      <c r="C221" s="23" t="s">
        <v>533</v>
      </c>
      <c r="D221" s="93">
        <v>15934</v>
      </c>
      <c r="E221" s="84" t="s">
        <v>526</v>
      </c>
      <c r="F221" s="17" t="s">
        <v>549</v>
      </c>
      <c r="G221" s="18">
        <v>2024</v>
      </c>
      <c r="H221" s="135">
        <f>D221/IF(E221="S",_xlfn.XLOOKUP($G221,Tables_for_Reference!$J$15:$J$21,Tables_for_Reference!$I$15:$I$21),IF(ESG!$E221="W",_xlfn.XLOOKUP(ESG!$G221,Tables_for_Reference!$J$15:$J$21,Tables_for_Reference!$H$15:$H$21),"Error"))</f>
        <v>1.1737804146581181</v>
      </c>
      <c r="I221" s="135">
        <f>$D221/IF($E221="S",_xlfn.XLOOKUP($G221,Tables_for_Reference!$J$24:$J$29,Tables_for_Reference!$I$24:$I$29),IF(ESG!E221="W",_xlfn.XLOOKUP(ESG!G221,Tables_for_Reference!$J$24:$J$29,Tables_for_Reference!$H$24:$H$29),"Error"))</f>
        <v>1.1487268668179507</v>
      </c>
    </row>
    <row r="222" spans="1:9" x14ac:dyDescent="0.2">
      <c r="A222" s="25" t="s">
        <v>296</v>
      </c>
      <c r="B222" s="22" t="s">
        <v>297</v>
      </c>
      <c r="C222" s="23" t="s">
        <v>533</v>
      </c>
      <c r="D222" s="93">
        <v>17863</v>
      </c>
      <c r="E222" s="84" t="s">
        <v>526</v>
      </c>
      <c r="F222" s="17" t="s">
        <v>549</v>
      </c>
      <c r="G222" s="18">
        <v>2023</v>
      </c>
      <c r="H222" s="135">
        <f>D222/IF(E222="S",_xlfn.XLOOKUP($G222,Tables_for_Reference!$J$15:$J$21,Tables_for_Reference!$I$15:$I$21),IF(ESG!$E222="W",_xlfn.XLOOKUP(ESG!$G222,Tables_for_Reference!$J$15:$J$21,Tables_for_Reference!$H$15:$H$21),"Error"))</f>
        <v>0.87951747907434763</v>
      </c>
      <c r="I222" s="135">
        <f>$D222/IF($E222="S",_xlfn.XLOOKUP($G222,Tables_for_Reference!$J$24:$J$29,Tables_for_Reference!$I$24:$I$29),IF(ESG!E222="W",_xlfn.XLOOKUP(ESG!G222,Tables_for_Reference!$J$24:$J$29,Tables_for_Reference!$H$24:$H$29),"Error"))</f>
        <v>1.9460513557974093</v>
      </c>
    </row>
    <row r="223" spans="1:9" x14ac:dyDescent="0.2">
      <c r="A223" s="25" t="s">
        <v>296</v>
      </c>
      <c r="B223" s="22" t="s">
        <v>297</v>
      </c>
      <c r="C223" s="23" t="s">
        <v>533</v>
      </c>
      <c r="D223" s="93">
        <v>14935</v>
      </c>
      <c r="E223" s="84" t="s">
        <v>526</v>
      </c>
      <c r="F223" s="17" t="s">
        <v>549</v>
      </c>
      <c r="G223" s="18">
        <v>2022</v>
      </c>
      <c r="H223" s="135">
        <f>D223/IF(E223="S",_xlfn.XLOOKUP($G223,Tables_for_Reference!$J$15:$J$21,Tables_for_Reference!$I$15:$I$21),IF(ESG!$E223="W",_xlfn.XLOOKUP(ESG!$G223,Tables_for_Reference!$J$15:$J$21,Tables_for_Reference!$H$15:$H$21),"Error"))</f>
        <v>0.70260861383576789</v>
      </c>
      <c r="I223" s="135">
        <f>$D223/IF($E223="S",_xlfn.XLOOKUP($G223,Tables_for_Reference!$J$24:$J$29,Tables_for_Reference!$I$24:$I$29),IF(ESG!E223="W",_xlfn.XLOOKUP(ESG!G223,Tables_for_Reference!$J$24:$J$29,Tables_for_Reference!$H$24:$H$29),"Error"))</f>
        <v>1.900514099562252</v>
      </c>
    </row>
    <row r="224" spans="1:9" x14ac:dyDescent="0.2">
      <c r="A224" s="25" t="s">
        <v>296</v>
      </c>
      <c r="B224" s="22" t="s">
        <v>297</v>
      </c>
      <c r="C224" s="23" t="s">
        <v>533</v>
      </c>
      <c r="D224" s="93">
        <v>11753</v>
      </c>
      <c r="E224" s="84" t="s">
        <v>526</v>
      </c>
      <c r="F224" s="17" t="s">
        <v>549</v>
      </c>
      <c r="G224" s="18">
        <v>2021</v>
      </c>
      <c r="H224" s="135">
        <f>D224/IF(E224="S",_xlfn.XLOOKUP($G224,Tables_for_Reference!$J$15:$J$21,Tables_for_Reference!$I$15:$I$21),IF(ESG!$E224="W",_xlfn.XLOOKUP(ESG!$G224,Tables_for_Reference!$J$15:$J$21,Tables_for_Reference!$H$15:$H$21),"Error"))</f>
        <v>0.62695707373800424</v>
      </c>
      <c r="I224" s="135">
        <f>$D224/IF($E224="S",_xlfn.XLOOKUP($G224,Tables_for_Reference!$J$24:$J$29,Tables_for_Reference!$I$24:$I$29),IF(ESG!E224="W",_xlfn.XLOOKUP(ESG!G224,Tables_for_Reference!$J$24:$J$29,Tables_for_Reference!$H$24:$H$29),"Error"))</f>
        <v>0.89004165088981446</v>
      </c>
    </row>
    <row r="225" spans="1:9" x14ac:dyDescent="0.2">
      <c r="A225" s="25" t="s">
        <v>296</v>
      </c>
      <c r="B225" s="14" t="s">
        <v>304</v>
      </c>
      <c r="C225" s="15" t="s">
        <v>531</v>
      </c>
      <c r="D225" s="93">
        <v>39217.919999999998</v>
      </c>
      <c r="E225" s="84" t="s">
        <v>296</v>
      </c>
      <c r="F225" s="24" t="s">
        <v>532</v>
      </c>
      <c r="G225" s="18">
        <v>2022</v>
      </c>
      <c r="H225" s="135">
        <f>D225/IF(E225="S",_xlfn.XLOOKUP($G225,Tables_for_Reference!$J$15:$J$21,Tables_for_Reference!$I$15:$I$21),IF(ESG!$E225="W",_xlfn.XLOOKUP(ESG!$G225,Tables_for_Reference!$J$15:$J$21,Tables_for_Reference!$H$15:$H$21),"Error"))</f>
        <v>3.0603136948888019</v>
      </c>
      <c r="I225" s="135">
        <f>$D225/IF($E225="S",_xlfn.XLOOKUP($G225,Tables_for_Reference!$J$24:$J$29,Tables_for_Reference!$I$24:$I$29),IF(ESG!E225="W",_xlfn.XLOOKUP(ESG!G225,Tables_for_Reference!$J$24:$J$29,Tables_for_Reference!$H$24:$H$29),"Error"))</f>
        <v>4.3648213689482471</v>
      </c>
    </row>
    <row r="226" spans="1:9" x14ac:dyDescent="0.2">
      <c r="A226" s="25" t="s">
        <v>296</v>
      </c>
      <c r="B226" s="22" t="s">
        <v>297</v>
      </c>
      <c r="C226" s="23" t="s">
        <v>533</v>
      </c>
      <c r="D226" s="91">
        <v>5421</v>
      </c>
      <c r="E226" s="84" t="s">
        <v>296</v>
      </c>
      <c r="F226" s="17" t="s">
        <v>549</v>
      </c>
      <c r="G226" s="18">
        <v>2022</v>
      </c>
      <c r="H226" s="135">
        <f>D226/IF(E226="S",_xlfn.XLOOKUP($G226,Tables_for_Reference!$J$15:$J$21,Tables_for_Reference!$I$15:$I$21),IF(ESG!$E226="W",_xlfn.XLOOKUP(ESG!$G226,Tables_for_Reference!$J$15:$J$21,Tables_for_Reference!$H$15:$H$21),"Error"))</f>
        <v>0.42301989855637923</v>
      </c>
      <c r="I226" s="135">
        <f>$D226/IF($E226="S",_xlfn.XLOOKUP($G226,Tables_for_Reference!$J$24:$J$29,Tables_for_Reference!$I$24:$I$29),IF(ESG!E226="W",_xlfn.XLOOKUP(ESG!G226,Tables_for_Reference!$J$24:$J$29,Tables_for_Reference!$H$24:$H$29),"Error"))</f>
        <v>0.60333889816360597</v>
      </c>
    </row>
    <row r="227" spans="1:9" x14ac:dyDescent="0.2">
      <c r="A227" s="25" t="s">
        <v>296</v>
      </c>
      <c r="B227" s="14" t="s">
        <v>299</v>
      </c>
      <c r="C227" s="15" t="s">
        <v>301</v>
      </c>
      <c r="D227" s="95">
        <v>0.23499999999999999</v>
      </c>
      <c r="E227" s="84" t="s">
        <v>296</v>
      </c>
      <c r="F227" s="24" t="s">
        <v>99</v>
      </c>
      <c r="G227" s="18">
        <v>2022</v>
      </c>
      <c r="H227" s="135">
        <f>D227/IF(E227="S",_xlfn.XLOOKUP($G227,Tables_for_Reference!$J$15:$J$21,Tables_for_Reference!$I$15:$I$21),IF(ESG!$E227="W",_xlfn.XLOOKUP(ESG!$G227,Tables_for_Reference!$J$15:$J$21,Tables_for_Reference!$H$15:$H$21),"Error"))</f>
        <v>1.833788529067499E-5</v>
      </c>
      <c r="I227" s="135">
        <f>$D227/IF($E227="S",_xlfn.XLOOKUP($G227,Tables_for_Reference!$J$24:$J$29,Tables_for_Reference!$I$24:$I$29),IF(ESG!E227="W",_xlfn.XLOOKUP(ESG!G227,Tables_for_Reference!$J$24:$J$29,Tables_for_Reference!$H$24:$H$29),"Error"))</f>
        <v>2.615470228158041E-5</v>
      </c>
    </row>
    <row r="228" spans="1:9" x14ac:dyDescent="0.2">
      <c r="A228" s="25" t="s">
        <v>296</v>
      </c>
      <c r="B228" s="22" t="s">
        <v>299</v>
      </c>
      <c r="C228" s="23" t="s">
        <v>300</v>
      </c>
      <c r="D228" s="96">
        <v>9611.6</v>
      </c>
      <c r="E228" s="84" t="s">
        <v>296</v>
      </c>
      <c r="F228" s="17" t="s">
        <v>549</v>
      </c>
      <c r="G228" s="18">
        <v>2022</v>
      </c>
      <c r="H228" s="135">
        <f>D228/IF(E228="S",_xlfn.XLOOKUP($G228,Tables_for_Reference!$J$15:$J$21,Tables_for_Reference!$I$15:$I$21),IF(ESG!$E228="W",_xlfn.XLOOKUP(ESG!$G228,Tables_for_Reference!$J$15:$J$21,Tables_for_Reference!$H$15:$H$21),"Error"))</f>
        <v>0.75002731174405002</v>
      </c>
      <c r="I228" s="135">
        <f>$D228/IF($E228="S",_xlfn.XLOOKUP($G228,Tables_for_Reference!$J$24:$J$29,Tables_for_Reference!$I$24:$I$29),IF(ESG!E228="W",_xlfn.XLOOKUP(ESG!G228,Tables_for_Reference!$J$24:$J$29,Tables_for_Reference!$H$24:$H$29),"Error"))</f>
        <v>1.0697384529771843</v>
      </c>
    </row>
    <row r="229" spans="1:9" x14ac:dyDescent="0.2">
      <c r="A229" s="25" t="s">
        <v>296</v>
      </c>
      <c r="B229" s="14" t="s">
        <v>304</v>
      </c>
      <c r="C229" s="90" t="s">
        <v>183</v>
      </c>
      <c r="D229" s="91">
        <v>22</v>
      </c>
      <c r="E229" s="84" t="s">
        <v>296</v>
      </c>
      <c r="F229" s="24" t="s">
        <v>305</v>
      </c>
      <c r="G229" s="18">
        <v>2023</v>
      </c>
      <c r="H229" s="135">
        <f>D229/IF(E229="S",_xlfn.XLOOKUP($G229,Tables_for_Reference!$J$15:$J$21,Tables_for_Reference!$I$15:$I$21),IF(ESG!$E229="W",_xlfn.XLOOKUP(ESG!$G229,Tables_for_Reference!$J$15:$J$21,Tables_for_Reference!$H$15:$H$21),"Error"))</f>
        <v>1.9517388218594747E-3</v>
      </c>
      <c r="I229" s="135">
        <f>$D229/IF($E229="S",_xlfn.XLOOKUP($G229,Tables_for_Reference!$J$24:$J$29,Tables_for_Reference!$I$24:$I$29),IF(ESG!E229="W",_xlfn.XLOOKUP(ESG!G229,Tables_for_Reference!$J$24:$J$29,Tables_for_Reference!$H$24:$H$29),"Error"))</f>
        <v>2.3478186630239905E-3</v>
      </c>
    </row>
    <row r="230" spans="1:9" x14ac:dyDescent="0.2">
      <c r="A230" s="25" t="s">
        <v>296</v>
      </c>
      <c r="B230" s="14" t="s">
        <v>297</v>
      </c>
      <c r="C230" s="15" t="s">
        <v>142</v>
      </c>
      <c r="D230" s="93">
        <v>46982</v>
      </c>
      <c r="E230" s="84" t="s">
        <v>296</v>
      </c>
      <c r="F230" s="24" t="s">
        <v>298</v>
      </c>
      <c r="G230" s="18">
        <v>2023</v>
      </c>
      <c r="H230" s="135">
        <f>D230/IF(E230="S",_xlfn.XLOOKUP($G230,Tables_for_Reference!$J$15:$J$21,Tables_for_Reference!$I$15:$I$21),IF(ESG!$E230="W",_xlfn.XLOOKUP(ESG!$G230,Tables_for_Reference!$J$15:$J$21,Tables_for_Reference!$H$15:$H$21),"Error"))</f>
        <v>4.1680269694819021</v>
      </c>
      <c r="I230" s="135">
        <f>$D230/IF($E230="S",_xlfn.XLOOKUP($G230,Tables_for_Reference!$J$24:$J$29,Tables_for_Reference!$I$24:$I$29),IF(ESG!E230="W",_xlfn.XLOOKUP(ESG!G230,Tables_for_Reference!$J$24:$J$29,Tables_for_Reference!$H$24:$H$29),"Error"))</f>
        <v>5.0138734739178696</v>
      </c>
    </row>
    <row r="231" spans="1:9" ht="26" x14ac:dyDescent="0.2">
      <c r="A231" s="25" t="s">
        <v>296</v>
      </c>
      <c r="B231" s="14" t="s">
        <v>302</v>
      </c>
      <c r="C231" s="15" t="s">
        <v>169</v>
      </c>
      <c r="D231" s="91">
        <v>0.53</v>
      </c>
      <c r="E231" s="84" t="s">
        <v>296</v>
      </c>
      <c r="F231" s="24" t="s">
        <v>303</v>
      </c>
      <c r="G231" s="18">
        <v>2023</v>
      </c>
      <c r="H231" s="135">
        <f>D231/IF(E231="S",_xlfn.XLOOKUP($G231,Tables_for_Reference!$J$15:$J$21,Tables_for_Reference!$I$15:$I$21),IF(ESG!$E231="W",_xlfn.XLOOKUP(ESG!$G231,Tables_for_Reference!$J$15:$J$21,Tables_for_Reference!$H$15:$H$21),"Error"))</f>
        <v>4.7019162526614622E-5</v>
      </c>
      <c r="I231" s="135">
        <f>$D231/IF($E231="S",_xlfn.XLOOKUP($G231,Tables_for_Reference!$J$24:$J$29,Tables_for_Reference!$I$24:$I$29),IF(ESG!E231="W",_xlfn.XLOOKUP(ESG!G231,Tables_for_Reference!$J$24:$J$29,Tables_for_Reference!$H$24:$H$29),"Error"))</f>
        <v>5.6561085972850681E-5</v>
      </c>
    </row>
    <row r="232" spans="1:9" x14ac:dyDescent="0.2">
      <c r="A232" s="25" t="s">
        <v>296</v>
      </c>
      <c r="B232" s="14" t="s">
        <v>304</v>
      </c>
      <c r="C232" s="15" t="s">
        <v>531</v>
      </c>
      <c r="D232" s="93">
        <v>693555</v>
      </c>
      <c r="E232" s="84" t="s">
        <v>296</v>
      </c>
      <c r="F232" s="24" t="s">
        <v>532</v>
      </c>
      <c r="G232" s="18">
        <v>2023</v>
      </c>
      <c r="H232" s="135">
        <f>D232/IF(E232="S",_xlfn.XLOOKUP($G232,Tables_for_Reference!$J$15:$J$21,Tables_for_Reference!$I$15:$I$21),IF(ESG!$E232="W",_xlfn.XLOOKUP(ESG!$G232,Tables_for_Reference!$J$15:$J$21,Tables_for_Reference!$H$15:$H$21),"Error"))</f>
        <v>61.529009936124915</v>
      </c>
      <c r="I232" s="135">
        <f>$D232/IF($E232="S",_xlfn.XLOOKUP($G232,Tables_for_Reference!$J$24:$J$29,Tables_for_Reference!$I$24:$I$29),IF(ESG!E232="W",_xlfn.XLOOKUP(ESG!G232,Tables_for_Reference!$J$24:$J$29,Tables_for_Reference!$H$24:$H$29),"Error"))</f>
        <v>74.01551694698199</v>
      </c>
    </row>
    <row r="233" spans="1:9" x14ac:dyDescent="0.2">
      <c r="A233" s="25" t="s">
        <v>296</v>
      </c>
      <c r="B233" s="22" t="s">
        <v>297</v>
      </c>
      <c r="C233" s="23" t="s">
        <v>533</v>
      </c>
      <c r="D233" s="91">
        <v>5221</v>
      </c>
      <c r="E233" s="84" t="s">
        <v>296</v>
      </c>
      <c r="F233" s="17" t="s">
        <v>549</v>
      </c>
      <c r="G233" s="18">
        <v>2023</v>
      </c>
      <c r="H233" s="135">
        <f>D233/IF(E233="S",_xlfn.XLOOKUP($G233,Tables_for_Reference!$J$15:$J$21,Tables_for_Reference!$I$15:$I$21),IF(ESG!$E233="W",_xlfn.XLOOKUP(ESG!$G233,Tables_for_Reference!$J$15:$J$21,Tables_for_Reference!$H$15:$H$21),"Error"))</f>
        <v>0.46318310858765083</v>
      </c>
      <c r="I233" s="135">
        <f>$D233/IF($E233="S",_xlfn.XLOOKUP($G233,Tables_for_Reference!$J$24:$J$29,Tables_for_Reference!$I$24:$I$29),IF(ESG!E233="W",_xlfn.XLOOKUP(ESG!G233,Tables_for_Reference!$J$24:$J$29,Tables_for_Reference!$H$24:$H$29),"Error"))</f>
        <v>0.55718005634764789</v>
      </c>
    </row>
    <row r="234" spans="1:9" x14ac:dyDescent="0.2">
      <c r="A234" s="25" t="s">
        <v>296</v>
      </c>
      <c r="B234" s="14" t="s">
        <v>299</v>
      </c>
      <c r="C234" s="15" t="s">
        <v>301</v>
      </c>
      <c r="D234" s="95">
        <v>0.251</v>
      </c>
      <c r="E234" s="84" t="s">
        <v>296</v>
      </c>
      <c r="F234" s="24" t="s">
        <v>99</v>
      </c>
      <c r="G234" s="18">
        <v>2023</v>
      </c>
      <c r="H234" s="135">
        <f>D234/IF(E234="S",_xlfn.XLOOKUP($G234,Tables_for_Reference!$J$15:$J$21,Tables_for_Reference!$I$15:$I$21),IF(ESG!$E234="W",_xlfn.XLOOKUP(ESG!$G234,Tables_for_Reference!$J$15:$J$21,Tables_for_Reference!$H$15:$H$21),"Error"))</f>
        <v>2.2267565649396736E-5</v>
      </c>
      <c r="I234" s="135">
        <f>$D234/IF($E234="S",_xlfn.XLOOKUP($G234,Tables_for_Reference!$J$24:$J$29,Tables_for_Reference!$I$24:$I$29),IF(ESG!E234="W",_xlfn.XLOOKUP(ESG!G234,Tables_for_Reference!$J$24:$J$29,Tables_for_Reference!$H$24:$H$29),"Error"))</f>
        <v>2.6786476564500984E-5</v>
      </c>
    </row>
    <row r="235" spans="1:9" x14ac:dyDescent="0.2">
      <c r="A235" s="25" t="s">
        <v>296</v>
      </c>
      <c r="B235" s="22" t="s">
        <v>299</v>
      </c>
      <c r="C235" s="23" t="s">
        <v>300</v>
      </c>
      <c r="D235" s="96">
        <v>9678.2919999999995</v>
      </c>
      <c r="E235" s="84" t="s">
        <v>296</v>
      </c>
      <c r="F235" s="17" t="s">
        <v>549</v>
      </c>
      <c r="G235" s="18">
        <v>2023</v>
      </c>
      <c r="H235" s="135">
        <f>D235/IF(E235="S",_xlfn.XLOOKUP($G235,Tables_for_Reference!$J$15:$J$21,Tables_for_Reference!$I$15:$I$21),IF(ESG!$E235="W",_xlfn.XLOOKUP(ESG!$G235,Tables_for_Reference!$J$15:$J$21,Tables_for_Reference!$H$15:$H$21),"Error"))</f>
        <v>0.8586135557132718</v>
      </c>
      <c r="I235" s="135">
        <f>$D235/IF($E235="S",_xlfn.XLOOKUP($G235,Tables_for_Reference!$J$24:$J$29,Tables_for_Reference!$I$24:$I$29),IF(ESG!E235="W",_xlfn.XLOOKUP(ESG!G235,Tables_for_Reference!$J$24:$J$29,Tables_for_Reference!$H$24:$H$29),"Error"))</f>
        <v>1.0328579356270811</v>
      </c>
    </row>
    <row r="236" spans="1:9" ht="26" x14ac:dyDescent="0.2">
      <c r="A236" s="25" t="s">
        <v>296</v>
      </c>
      <c r="B236" s="14" t="s">
        <v>304</v>
      </c>
      <c r="C236" s="15" t="s">
        <v>183</v>
      </c>
      <c r="D236" s="91">
        <v>24</v>
      </c>
      <c r="E236" s="84" t="s">
        <v>296</v>
      </c>
      <c r="F236" s="24" t="s">
        <v>305</v>
      </c>
      <c r="G236" s="18">
        <v>2024</v>
      </c>
      <c r="H236" s="135">
        <f>D236/IF(E236="S",_xlfn.XLOOKUP($G236,Tables_for_Reference!$J$15:$J$21,Tables_for_Reference!$I$15:$I$21),IF(ESG!$E236="W",_xlfn.XLOOKUP(ESG!$G236,Tables_for_Reference!$J$15:$J$21,Tables_for_Reference!$H$15:$H$21),"Error"))</f>
        <v>3.1855338983526682E-3</v>
      </c>
      <c r="I236" s="135">
        <f>$D236/IF($E236="S",_xlfn.XLOOKUP($G236,Tables_for_Reference!$J$24:$J$29,Tables_for_Reference!$I$24:$I$29),IF(ESG!E236="W",_xlfn.XLOOKUP(ESG!G236,Tables_for_Reference!$J$24:$J$29,Tables_for_Reference!$H$24:$H$29),"Error"))</f>
        <v>1.6949042880526602E-3</v>
      </c>
    </row>
    <row r="237" spans="1:9" x14ac:dyDescent="0.2">
      <c r="A237" s="25" t="s">
        <v>296</v>
      </c>
      <c r="B237" s="22" t="s">
        <v>299</v>
      </c>
      <c r="C237" s="23" t="s">
        <v>300</v>
      </c>
      <c r="D237" s="93">
        <v>12352</v>
      </c>
      <c r="E237" s="84" t="s">
        <v>526</v>
      </c>
      <c r="F237" s="17" t="s">
        <v>549</v>
      </c>
      <c r="G237" s="18">
        <v>2024</v>
      </c>
      <c r="H237" s="135">
        <f>D237/IF(E237="S",_xlfn.XLOOKUP($G237,Tables_for_Reference!$J$15:$J$21,Tables_for_Reference!$I$15:$I$21),IF(ESG!$E237="W",_xlfn.XLOOKUP(ESG!$G237,Tables_for_Reference!$J$15:$J$21,Tables_for_Reference!$H$15:$H$21),"Error"))</f>
        <v>0.9099118665656506</v>
      </c>
      <c r="I237" s="135">
        <f>$D237/IF($E237="S",_xlfn.XLOOKUP($G237,Tables_for_Reference!$J$24:$J$29,Tables_for_Reference!$I$24:$I$29),IF(ESG!E237="W",_xlfn.XLOOKUP(ESG!G237,Tables_for_Reference!$J$24:$J$29,Tables_for_Reference!$H$24:$H$29),"Error"))</f>
        <v>0.89049041414179286</v>
      </c>
    </row>
    <row r="238" spans="1:9" x14ac:dyDescent="0.2">
      <c r="A238" s="25" t="s">
        <v>296</v>
      </c>
      <c r="B238" s="14" t="s">
        <v>297</v>
      </c>
      <c r="C238" s="15" t="s">
        <v>142</v>
      </c>
      <c r="D238" s="93">
        <v>46674</v>
      </c>
      <c r="E238" s="84" t="s">
        <v>296</v>
      </c>
      <c r="F238" s="24" t="s">
        <v>298</v>
      </c>
      <c r="G238" s="18">
        <v>2024</v>
      </c>
      <c r="H238" s="135">
        <f>D238/IF(E238="S",_xlfn.XLOOKUP($G238,Tables_for_Reference!$J$15:$J$21,Tables_for_Reference!$I$15:$I$21),IF(ESG!$E238="W",_xlfn.XLOOKUP(ESG!$G238,Tables_for_Reference!$J$15:$J$21,Tables_for_Reference!$H$15:$H$21),"Error"))</f>
        <v>6.1950670488213522</v>
      </c>
      <c r="I238" s="135">
        <f>$D238/IF($E238="S",_xlfn.XLOOKUP($G238,Tables_for_Reference!$J$24:$J$29,Tables_for_Reference!$I$24:$I$29),IF(ESG!E238="W",_xlfn.XLOOKUP(ESG!G238,Tables_for_Reference!$J$24:$J$29,Tables_for_Reference!$H$24:$H$29),"Error"))</f>
        <v>3.2961651141904107</v>
      </c>
    </row>
    <row r="239" spans="1:9" x14ac:dyDescent="0.2">
      <c r="A239" s="25" t="s">
        <v>296</v>
      </c>
      <c r="B239" s="22" t="s">
        <v>299</v>
      </c>
      <c r="C239" s="23" t="s">
        <v>300</v>
      </c>
      <c r="D239" s="93">
        <v>12735</v>
      </c>
      <c r="E239" s="84" t="s">
        <v>526</v>
      </c>
      <c r="F239" s="17" t="s">
        <v>549</v>
      </c>
      <c r="G239" s="18">
        <v>2023</v>
      </c>
      <c r="H239" s="135">
        <f>D239/IF(E239="S",_xlfn.XLOOKUP($G239,Tables_for_Reference!$J$15:$J$21,Tables_for_Reference!$I$15:$I$21),IF(ESG!$E239="W",_xlfn.XLOOKUP(ESG!$G239,Tables_for_Reference!$J$15:$J$21,Tables_for_Reference!$H$15:$H$21),"Error"))</f>
        <v>0.62703101920236337</v>
      </c>
      <c r="I239" s="135">
        <f>$D239/IF($E239="S",_xlfn.XLOOKUP($G239,Tables_for_Reference!$J$24:$J$29,Tables_for_Reference!$I$24:$I$29),IF(ESG!E239="W",_xlfn.XLOOKUP(ESG!G239,Tables_for_Reference!$J$24:$J$29,Tables_for_Reference!$H$24:$H$29),"Error"))</f>
        <v>1.3873909206784978</v>
      </c>
    </row>
    <row r="240" spans="1:9" ht="26" x14ac:dyDescent="0.2">
      <c r="A240" s="25" t="s">
        <v>296</v>
      </c>
      <c r="B240" s="14" t="s">
        <v>302</v>
      </c>
      <c r="C240" s="15" t="s">
        <v>169</v>
      </c>
      <c r="D240" s="91">
        <v>0.46</v>
      </c>
      <c r="E240" s="84" t="s">
        <v>296</v>
      </c>
      <c r="F240" s="24" t="s">
        <v>303</v>
      </c>
      <c r="G240" s="18">
        <v>2024</v>
      </c>
      <c r="H240" s="135">
        <f>D240/IF(E240="S",_xlfn.XLOOKUP($G240,Tables_for_Reference!$J$15:$J$21,Tables_for_Reference!$I$15:$I$21),IF(ESG!$E240="W",_xlfn.XLOOKUP(ESG!$G240,Tables_for_Reference!$J$15:$J$21,Tables_for_Reference!$H$15:$H$21),"Error"))</f>
        <v>6.105606638509281E-5</v>
      </c>
      <c r="I240" s="135">
        <f>$D240/IF($E240="S",_xlfn.XLOOKUP($G240,Tables_for_Reference!$J$24:$J$29,Tables_for_Reference!$I$24:$I$29),IF(ESG!E240="W",_xlfn.XLOOKUP(ESG!G240,Tables_for_Reference!$J$24:$J$29,Tables_for_Reference!$H$24:$H$29),"Error"))</f>
        <v>3.2485665521009319E-5</v>
      </c>
    </row>
    <row r="241" spans="1:9" x14ac:dyDescent="0.2">
      <c r="A241" s="25" t="s">
        <v>296</v>
      </c>
      <c r="B241" s="22" t="s">
        <v>299</v>
      </c>
      <c r="C241" s="23" t="s">
        <v>300</v>
      </c>
      <c r="D241" s="93">
        <v>11059</v>
      </c>
      <c r="E241" s="84" t="s">
        <v>526</v>
      </c>
      <c r="F241" s="17" t="s">
        <v>549</v>
      </c>
      <c r="G241" s="18">
        <v>2022</v>
      </c>
      <c r="H241" s="135">
        <f>D241/IF(E241="S",_xlfn.XLOOKUP($G241,Tables_for_Reference!$J$15:$J$21,Tables_for_Reference!$I$15:$I$21),IF(ESG!$E241="W",_xlfn.XLOOKUP(ESG!$G241,Tables_for_Reference!$J$15:$J$21,Tables_for_Reference!$H$15:$H$21),"Error"))</f>
        <v>0.52026438971608679</v>
      </c>
      <c r="I241" s="135">
        <f>$D241/IF($E241="S",_xlfn.XLOOKUP($G241,Tables_for_Reference!$J$24:$J$29,Tables_for_Reference!$I$24:$I$29),IF(ESG!E241="W",_xlfn.XLOOKUP(ESG!G241,Tables_for_Reference!$J$24:$J$29,Tables_for_Reference!$H$24:$H$29),"Error"))</f>
        <v>1.4072839254810141</v>
      </c>
    </row>
    <row r="242" spans="1:9" x14ac:dyDescent="0.2">
      <c r="A242" s="25" t="s">
        <v>296</v>
      </c>
      <c r="B242" s="14" t="s">
        <v>304</v>
      </c>
      <c r="C242" s="15" t="s">
        <v>531</v>
      </c>
      <c r="D242" s="93">
        <v>193270.66</v>
      </c>
      <c r="E242" s="84" t="s">
        <v>296</v>
      </c>
      <c r="F242" s="24" t="s">
        <v>532</v>
      </c>
      <c r="G242" s="18">
        <v>2024</v>
      </c>
      <c r="H242" s="135">
        <f>D242/IF(E242="S",_xlfn.XLOOKUP($G242,Tables_for_Reference!$J$15:$J$21,Tables_for_Reference!$I$15:$I$21),IF(ESG!$E242="W",_xlfn.XLOOKUP(ESG!$G242,Tables_for_Reference!$J$15:$J$21,Tables_for_Reference!$H$15:$H$21),"Error"))</f>
        <v>25.652926624458047</v>
      </c>
      <c r="I242" s="135">
        <f>$D242/IF($E242="S",_xlfn.XLOOKUP($G242,Tables_for_Reference!$J$24:$J$29,Tables_for_Reference!$I$24:$I$29),IF(ESG!E242="W",_xlfn.XLOOKUP(ESG!G242,Tables_for_Reference!$J$24:$J$29,Tables_for_Reference!$H$24:$H$29),"Error"))</f>
        <v>13.64896959953199</v>
      </c>
    </row>
    <row r="243" spans="1:9" x14ac:dyDescent="0.2">
      <c r="A243" s="25" t="s">
        <v>296</v>
      </c>
      <c r="B243" s="22" t="s">
        <v>299</v>
      </c>
      <c r="C243" s="23" t="s">
        <v>300</v>
      </c>
      <c r="D243" s="93">
        <v>10525</v>
      </c>
      <c r="E243" s="84" t="s">
        <v>526</v>
      </c>
      <c r="F243" s="17" t="s">
        <v>549</v>
      </c>
      <c r="G243" s="18">
        <v>2021</v>
      </c>
      <c r="H243" s="135">
        <f>D243/IF(E243="S",_xlfn.XLOOKUP($G243,Tables_for_Reference!$J$15:$J$21,Tables_for_Reference!$I$15:$I$21),IF(ESG!$E243="W",_xlfn.XLOOKUP(ESG!$G243,Tables_for_Reference!$J$15:$J$21,Tables_for_Reference!$H$15:$H$21),"Error"))</f>
        <v>0.56145011495724451</v>
      </c>
      <c r="I243" s="135">
        <f>$D243/IF($E243="S",_xlfn.XLOOKUP($G243,Tables_for_Reference!$J$24:$J$29,Tables_for_Reference!$I$24:$I$29),IF(ESG!E243="W",_xlfn.XLOOKUP(ESG!G243,Tables_for_Reference!$J$24:$J$29,Tables_for_Reference!$H$24:$H$29),"Error"))</f>
        <v>0.79704657326770167</v>
      </c>
    </row>
    <row r="244" spans="1:9" x14ac:dyDescent="0.2">
      <c r="A244" s="25" t="s">
        <v>296</v>
      </c>
      <c r="B244" s="22" t="s">
        <v>297</v>
      </c>
      <c r="C244" s="23" t="s">
        <v>533</v>
      </c>
      <c r="D244" s="91">
        <v>5028</v>
      </c>
      <c r="E244" s="84" t="s">
        <v>296</v>
      </c>
      <c r="F244" s="17" t="s">
        <v>549</v>
      </c>
      <c r="G244" s="18">
        <v>2024</v>
      </c>
      <c r="H244" s="135">
        <f>D244/IF(E244="S",_xlfn.XLOOKUP($G244,Tables_for_Reference!$J$15:$J$21,Tables_for_Reference!$I$15:$I$21),IF(ESG!$E244="W",_xlfn.XLOOKUP(ESG!$G244,Tables_for_Reference!$J$15:$J$21,Tables_for_Reference!$H$15:$H$21),"Error"))</f>
        <v>0.66736935170488398</v>
      </c>
      <c r="I244" s="135">
        <f>$D244/IF($E244="S",_xlfn.XLOOKUP($G244,Tables_for_Reference!$J$24:$J$29,Tables_for_Reference!$I$24:$I$29),IF(ESG!E244="W",_xlfn.XLOOKUP(ESG!G244,Tables_for_Reference!$J$24:$J$29,Tables_for_Reference!$H$24:$H$29),"Error"))</f>
        <v>0.35508244834703229</v>
      </c>
    </row>
    <row r="245" spans="1:9" x14ac:dyDescent="0.2">
      <c r="A245" s="25" t="s">
        <v>296</v>
      </c>
      <c r="B245" s="14" t="s">
        <v>299</v>
      </c>
      <c r="C245" s="15" t="s">
        <v>301</v>
      </c>
      <c r="D245" s="95">
        <v>0.26700000000000002</v>
      </c>
      <c r="E245" s="84" t="s">
        <v>296</v>
      </c>
      <c r="F245" s="24" t="s">
        <v>99</v>
      </c>
      <c r="G245" s="18">
        <v>2024</v>
      </c>
      <c r="H245" s="135">
        <f>D245/IF(E245="S",_xlfn.XLOOKUP($G245,Tables_for_Reference!$J$15:$J$21,Tables_for_Reference!$I$15:$I$21),IF(ESG!$E245="W",_xlfn.XLOOKUP(ESG!$G245,Tables_for_Reference!$J$15:$J$21,Tables_for_Reference!$H$15:$H$21),"Error"))</f>
        <v>3.543906461917344E-5</v>
      </c>
      <c r="I245" s="135">
        <f>$D245/IF($E245="S",_xlfn.XLOOKUP($G245,Tables_for_Reference!$J$24:$J$29,Tables_for_Reference!$I$24:$I$29),IF(ESG!E245="W",_xlfn.XLOOKUP(ESG!G245,Tables_for_Reference!$J$24:$J$29,Tables_for_Reference!$H$24:$H$29),"Error"))</f>
        <v>1.8855810204585847E-5</v>
      </c>
    </row>
    <row r="246" spans="1:9" x14ac:dyDescent="0.2">
      <c r="A246" s="25" t="s">
        <v>296</v>
      </c>
      <c r="B246" s="22" t="s">
        <v>299</v>
      </c>
      <c r="C246" s="23" t="s">
        <v>300</v>
      </c>
      <c r="D246" s="96">
        <v>9894.887999999999</v>
      </c>
      <c r="E246" s="84" t="s">
        <v>296</v>
      </c>
      <c r="F246" s="17" t="s">
        <v>549</v>
      </c>
      <c r="G246" s="18">
        <v>2024</v>
      </c>
      <c r="H246" s="135">
        <f>D246/IF(E246="S",_xlfn.XLOOKUP($G246,Tables_for_Reference!$J$15:$J$21,Tables_for_Reference!$I$15:$I$21),IF(ESG!$E246="W",_xlfn.XLOOKUP(ESG!$G246,Tables_for_Reference!$J$15:$J$21,Tables_for_Reference!$H$15:$H$21),"Error"))</f>
        <v>1.3133542143501264</v>
      </c>
      <c r="I246" s="135">
        <f>$D246/IF($E246="S",_xlfn.XLOOKUP($G246,Tables_for_Reference!$J$24:$J$29,Tables_for_Reference!$I$24:$I$29),IF(ESG!E246="W",_xlfn.XLOOKUP(ESG!G246,Tables_for_Reference!$J$24:$J$29,Tables_for_Reference!$H$24:$H$29),"Error"))</f>
        <v>0.69878700420836704</v>
      </c>
    </row>
    <row r="247" spans="1:9" ht="26" x14ac:dyDescent="0.2">
      <c r="A247" s="26" t="s">
        <v>306</v>
      </c>
      <c r="B247" s="22" t="s">
        <v>312</v>
      </c>
      <c r="C247" s="23" t="s">
        <v>217</v>
      </c>
      <c r="D247" s="84" t="s">
        <v>313</v>
      </c>
      <c r="E247" s="84" t="s">
        <v>525</v>
      </c>
      <c r="F247" s="17"/>
      <c r="G247" s="18">
        <v>2024</v>
      </c>
      <c r="H247" s="135" t="e">
        <f>D247/IF(E247="S",_xlfn.XLOOKUP($G247,Tables_for_Reference!$J$15:$J$21,Tables_for_Reference!$I$15:$I$21),IF(ESG!$E247="W",_xlfn.XLOOKUP(ESG!$G247,Tables_for_Reference!$J$15:$J$21,Tables_for_Reference!$H$15:$H$21),"Error"))</f>
        <v>#VALUE!</v>
      </c>
      <c r="I247" s="135" t="e">
        <f>$D247/IF($E247="S",_xlfn.XLOOKUP($G247,Tables_for_Reference!$J$24:$J$29,Tables_for_Reference!$I$24:$I$29),IF(ESG!E247="W",_xlfn.XLOOKUP(ESG!G247,Tables_for_Reference!$J$24:$J$29,Tables_for_Reference!$H$24:$H$29),"Error"))</f>
        <v>#VALUE!</v>
      </c>
    </row>
    <row r="248" spans="1:9" ht="26" x14ac:dyDescent="0.2">
      <c r="A248" s="26" t="s">
        <v>306</v>
      </c>
      <c r="B248" s="22" t="s">
        <v>312</v>
      </c>
      <c r="C248" s="23" t="s">
        <v>217</v>
      </c>
      <c r="D248" s="84" t="s">
        <v>313</v>
      </c>
      <c r="E248" s="84" t="s">
        <v>526</v>
      </c>
      <c r="F248" s="17"/>
      <c r="G248" s="18">
        <v>2023</v>
      </c>
      <c r="H248" s="135" t="e">
        <f>D248/IF(E248="S",_xlfn.XLOOKUP($G248,Tables_for_Reference!$J$15:$J$21,Tables_for_Reference!$I$15:$I$21),IF(ESG!$E248="W",_xlfn.XLOOKUP(ESG!$G248,Tables_for_Reference!$J$15:$J$21,Tables_for_Reference!$H$15:$H$21),"Error"))</f>
        <v>#VALUE!</v>
      </c>
      <c r="I248" s="135" t="e">
        <f>$D248/IF($E248="S",_xlfn.XLOOKUP($G248,Tables_for_Reference!$J$24:$J$29,Tables_for_Reference!$I$24:$I$29),IF(ESG!E248="W",_xlfn.XLOOKUP(ESG!G248,Tables_for_Reference!$J$24:$J$29,Tables_for_Reference!$H$24:$H$29),"Error"))</f>
        <v>#VALUE!</v>
      </c>
    </row>
    <row r="249" spans="1:9" ht="26" x14ac:dyDescent="0.2">
      <c r="A249" s="26" t="s">
        <v>306</v>
      </c>
      <c r="B249" s="22" t="s">
        <v>312</v>
      </c>
      <c r="C249" s="23" t="s">
        <v>217</v>
      </c>
      <c r="D249" s="84" t="s">
        <v>313</v>
      </c>
      <c r="E249" s="84" t="s">
        <v>296</v>
      </c>
      <c r="F249" s="17"/>
      <c r="G249" s="18">
        <v>2023</v>
      </c>
      <c r="H249" s="135" t="e">
        <f>D249/IF(E249="S",_xlfn.XLOOKUP($G249,Tables_for_Reference!$J$15:$J$21,Tables_for_Reference!$I$15:$I$21),IF(ESG!$E249="W",_xlfn.XLOOKUP(ESG!$G249,Tables_for_Reference!$J$15:$J$21,Tables_for_Reference!$H$15:$H$21),"Error"))</f>
        <v>#VALUE!</v>
      </c>
      <c r="I249" s="135" t="e">
        <f>$D249/IF($E249="S",_xlfn.XLOOKUP($G249,Tables_for_Reference!$J$24:$J$29,Tables_for_Reference!$I$24:$I$29),IF(ESG!E249="W",_xlfn.XLOOKUP(ESG!G249,Tables_for_Reference!$J$24:$J$29,Tables_for_Reference!$H$24:$H$29),"Error"))</f>
        <v>#VALUE!</v>
      </c>
    </row>
    <row r="250" spans="1:9" ht="26" x14ac:dyDescent="0.2">
      <c r="A250" s="26" t="s">
        <v>306</v>
      </c>
      <c r="B250" s="22" t="s">
        <v>312</v>
      </c>
      <c r="C250" s="23" t="s">
        <v>217</v>
      </c>
      <c r="D250" s="84" t="s">
        <v>313</v>
      </c>
      <c r="E250" s="84" t="s">
        <v>526</v>
      </c>
      <c r="F250" s="17"/>
      <c r="G250" s="18">
        <v>2022</v>
      </c>
      <c r="H250" s="135" t="e">
        <f>D250/IF(E250="S",_xlfn.XLOOKUP($G250,Tables_for_Reference!$J$15:$J$21,Tables_for_Reference!$I$15:$I$21),IF(ESG!$E250="W",_xlfn.XLOOKUP(ESG!$G250,Tables_for_Reference!$J$15:$J$21,Tables_for_Reference!$H$15:$H$21),"Error"))</f>
        <v>#VALUE!</v>
      </c>
      <c r="I250" s="135" t="e">
        <f>$D250/IF($E250="S",_xlfn.XLOOKUP($G250,Tables_for_Reference!$J$24:$J$29,Tables_for_Reference!$I$24:$I$29),IF(ESG!E250="W",_xlfn.XLOOKUP(ESG!G250,Tables_for_Reference!$J$24:$J$29,Tables_for_Reference!$H$24:$H$29),"Error"))</f>
        <v>#VALUE!</v>
      </c>
    </row>
    <row r="251" spans="1:9" ht="26" x14ac:dyDescent="0.2">
      <c r="A251" s="26" t="s">
        <v>306</v>
      </c>
      <c r="B251" s="22" t="s">
        <v>312</v>
      </c>
      <c r="C251" s="23" t="s">
        <v>217</v>
      </c>
      <c r="D251" s="84" t="s">
        <v>313</v>
      </c>
      <c r="E251" s="84" t="s">
        <v>296</v>
      </c>
      <c r="F251" s="17"/>
      <c r="G251" s="18">
        <v>2022</v>
      </c>
      <c r="H251" s="135" t="e">
        <f>D251/IF(E251="S",_xlfn.XLOOKUP($G251,Tables_for_Reference!$J$15:$J$21,Tables_for_Reference!$I$15:$I$21),IF(ESG!$E251="W",_xlfn.XLOOKUP(ESG!$G251,Tables_for_Reference!$J$15:$J$21,Tables_for_Reference!$H$15:$H$21),"Error"))</f>
        <v>#VALUE!</v>
      </c>
      <c r="I251" s="135" t="e">
        <f>$D251/IF($E251="S",_xlfn.XLOOKUP($G251,Tables_for_Reference!$J$24:$J$29,Tables_for_Reference!$I$24:$I$29),IF(ESG!E251="W",_xlfn.XLOOKUP(ESG!G251,Tables_for_Reference!$J$24:$J$29,Tables_for_Reference!$H$24:$H$29),"Error"))</f>
        <v>#VALUE!</v>
      </c>
    </row>
    <row r="252" spans="1:9" ht="26" x14ac:dyDescent="0.2">
      <c r="A252" s="26" t="s">
        <v>306</v>
      </c>
      <c r="B252" s="22" t="s">
        <v>312</v>
      </c>
      <c r="C252" s="23" t="s">
        <v>217</v>
      </c>
      <c r="D252" s="84" t="s">
        <v>313</v>
      </c>
      <c r="E252" s="84" t="s">
        <v>526</v>
      </c>
      <c r="F252" s="17"/>
      <c r="G252" s="18">
        <v>2021</v>
      </c>
      <c r="H252" s="135" t="e">
        <f>D252/IF(E252="S",_xlfn.XLOOKUP($G252,Tables_for_Reference!$J$15:$J$21,Tables_for_Reference!$I$15:$I$21),IF(ESG!$E252="W",_xlfn.XLOOKUP(ESG!$G252,Tables_for_Reference!$J$15:$J$21,Tables_for_Reference!$H$15:$H$21),"Error"))</f>
        <v>#VALUE!</v>
      </c>
      <c r="I252" s="135" t="e">
        <f>$D252/IF($E252="S",_xlfn.XLOOKUP($G252,Tables_for_Reference!$J$24:$J$29,Tables_for_Reference!$I$24:$I$29),IF(ESG!E252="W",_xlfn.XLOOKUP(ESG!G252,Tables_for_Reference!$J$24:$J$29,Tables_for_Reference!$H$24:$H$29),"Error"))</f>
        <v>#VALUE!</v>
      </c>
    </row>
    <row r="253" spans="1:9" ht="26" x14ac:dyDescent="0.2">
      <c r="A253" s="26" t="s">
        <v>306</v>
      </c>
      <c r="B253" s="22" t="s">
        <v>312</v>
      </c>
      <c r="C253" s="23" t="s">
        <v>217</v>
      </c>
      <c r="D253" s="84" t="s">
        <v>313</v>
      </c>
      <c r="E253" s="84" t="s">
        <v>296</v>
      </c>
      <c r="F253" s="17"/>
      <c r="G253" s="18">
        <v>2021</v>
      </c>
      <c r="H253" s="135" t="e">
        <f>D253/IF(E253="S",_xlfn.XLOOKUP($G253,Tables_for_Reference!$J$15:$J$21,Tables_for_Reference!$I$15:$I$21),IF(ESG!$E253="W",_xlfn.XLOOKUP(ESG!$G253,Tables_for_Reference!$J$15:$J$21,Tables_for_Reference!$H$15:$H$21),"Error"))</f>
        <v>#VALUE!</v>
      </c>
      <c r="I253" s="135" t="e">
        <f>$D253/IF($E253="S",_xlfn.XLOOKUP($G253,Tables_for_Reference!$J$24:$J$29,Tables_for_Reference!$I$24:$I$29),IF(ESG!E253="W",_xlfn.XLOOKUP(ESG!G253,Tables_for_Reference!$J$24:$J$29,Tables_for_Reference!$H$24:$H$29),"Error"))</f>
        <v>#VALUE!</v>
      </c>
    </row>
    <row r="254" spans="1:9" ht="26" x14ac:dyDescent="0.2">
      <c r="A254" s="26" t="s">
        <v>306</v>
      </c>
      <c r="B254" s="22" t="s">
        <v>312</v>
      </c>
      <c r="C254" s="23" t="s">
        <v>217</v>
      </c>
      <c r="D254" s="84" t="s">
        <v>313</v>
      </c>
      <c r="E254" s="84" t="s">
        <v>526</v>
      </c>
      <c r="F254" s="17"/>
      <c r="G254" s="18">
        <v>2020</v>
      </c>
      <c r="H254" s="135" t="e">
        <f>D254/IF(E254="S",_xlfn.XLOOKUP($G254,Tables_for_Reference!$J$15:$J$21,Tables_for_Reference!$I$15:$I$21),IF(ESG!$E254="W",_xlfn.XLOOKUP(ESG!$G254,Tables_for_Reference!$J$15:$J$21,Tables_for_Reference!$H$15:$H$21),"Error"))</f>
        <v>#VALUE!</v>
      </c>
      <c r="I254" s="135" t="e">
        <f>$D254/IF($E254="S",_xlfn.XLOOKUP($G254,Tables_for_Reference!$J$24:$J$29,Tables_for_Reference!$I$24:$I$29),IF(ESG!E254="W",_xlfn.XLOOKUP(ESG!G254,Tables_for_Reference!$J$24:$J$29,Tables_for_Reference!$H$24:$H$29),"Error"))</f>
        <v>#VALUE!</v>
      </c>
    </row>
    <row r="255" spans="1:9" ht="26" x14ac:dyDescent="0.2">
      <c r="A255" s="26" t="s">
        <v>306</v>
      </c>
      <c r="B255" s="22" t="s">
        <v>312</v>
      </c>
      <c r="C255" s="23" t="s">
        <v>217</v>
      </c>
      <c r="D255" s="84" t="s">
        <v>313</v>
      </c>
      <c r="E255" s="84" t="s">
        <v>296</v>
      </c>
      <c r="F255" s="17"/>
      <c r="G255" s="18">
        <v>2020</v>
      </c>
      <c r="H255" s="135" t="e">
        <f>D255/IF(E255="S",_xlfn.XLOOKUP($G255,Tables_for_Reference!$J$15:$J$21,Tables_for_Reference!$I$15:$I$21),IF(ESG!$E255="W",_xlfn.XLOOKUP(ESG!$G255,Tables_for_Reference!$J$15:$J$21,Tables_for_Reference!$H$15:$H$21),"Error"))</f>
        <v>#VALUE!</v>
      </c>
      <c r="I255" s="135" t="e">
        <f>$D255/IF($E255="S",_xlfn.XLOOKUP($G255,Tables_for_Reference!$J$24:$J$29,Tables_for_Reference!$I$24:$I$29),IF(ESG!E255="W",_xlfn.XLOOKUP(ESG!G255,Tables_for_Reference!$J$24:$J$29,Tables_for_Reference!$H$24:$H$29),"Error"))</f>
        <v>#VALUE!</v>
      </c>
    </row>
    <row r="256" spans="1:9" ht="26" x14ac:dyDescent="0.2">
      <c r="A256" s="26" t="s">
        <v>306</v>
      </c>
      <c r="B256" s="22" t="s">
        <v>312</v>
      </c>
      <c r="C256" s="23" t="s">
        <v>217</v>
      </c>
      <c r="D256" s="84" t="s">
        <v>313</v>
      </c>
      <c r="E256" s="84" t="s">
        <v>526</v>
      </c>
      <c r="F256" s="17"/>
      <c r="G256" s="18">
        <v>2019</v>
      </c>
      <c r="H256" s="135" t="e">
        <f>D256/IF(E256="S",_xlfn.XLOOKUP($G256,Tables_for_Reference!$J$15:$J$21,Tables_for_Reference!$I$15:$I$21),IF(ESG!$E256="W",_xlfn.XLOOKUP(ESG!$G256,Tables_for_Reference!$J$15:$J$21,Tables_for_Reference!$H$15:$H$21),"Error"))</f>
        <v>#VALUE!</v>
      </c>
      <c r="I256" s="135" t="e">
        <f>$D256/IF($E256="S",_xlfn.XLOOKUP($G256,Tables_for_Reference!$J$24:$J$29,Tables_for_Reference!$I$24:$I$29),IF(ESG!E256="W",_xlfn.XLOOKUP(ESG!G256,Tables_for_Reference!$J$24:$J$29,Tables_for_Reference!$H$24:$H$29),"Error"))</f>
        <v>#VALUE!</v>
      </c>
    </row>
    <row r="257" spans="1:9" ht="26" x14ac:dyDescent="0.2">
      <c r="A257" s="26" t="s">
        <v>306</v>
      </c>
      <c r="B257" s="22" t="s">
        <v>312</v>
      </c>
      <c r="C257" s="23" t="s">
        <v>217</v>
      </c>
      <c r="D257" s="84" t="s">
        <v>313</v>
      </c>
      <c r="E257" s="84" t="s">
        <v>296</v>
      </c>
      <c r="F257" s="17"/>
      <c r="G257" s="18">
        <v>2019</v>
      </c>
      <c r="H257" s="135" t="e">
        <f>D257/IF(E257="S",_xlfn.XLOOKUP($G257,Tables_for_Reference!$J$15:$J$21,Tables_for_Reference!$I$15:$I$21),IF(ESG!$E257="W",_xlfn.XLOOKUP(ESG!$G257,Tables_for_Reference!$J$15:$J$21,Tables_for_Reference!$H$15:$H$21),"Error"))</f>
        <v>#VALUE!</v>
      </c>
      <c r="I257" s="135" t="e">
        <f>$D257/IF($E257="S",_xlfn.XLOOKUP($G257,Tables_for_Reference!$J$24:$J$29,Tables_for_Reference!$I$24:$I$29),IF(ESG!E257="W",_xlfn.XLOOKUP(ESG!G257,Tables_for_Reference!$J$24:$J$29,Tables_for_Reference!$H$24:$H$29),"Error"))</f>
        <v>#VALUE!</v>
      </c>
    </row>
    <row r="258" spans="1:9" x14ac:dyDescent="0.2">
      <c r="A258" s="26" t="s">
        <v>306</v>
      </c>
      <c r="B258" s="14" t="s">
        <v>307</v>
      </c>
      <c r="C258" s="23" t="s">
        <v>308</v>
      </c>
      <c r="D258" s="84">
        <v>14</v>
      </c>
      <c r="E258" s="84" t="s">
        <v>525</v>
      </c>
      <c r="F258" s="17" t="s">
        <v>309</v>
      </c>
      <c r="G258" s="18">
        <v>2024</v>
      </c>
      <c r="H258" s="135" t="e">
        <f>D258/IF(E258="S",_xlfn.XLOOKUP($G258,Tables_for_Reference!$J$15:$J$21,Tables_for_Reference!$I$15:$I$21),IF(ESG!$E258="W",_xlfn.XLOOKUP(ESG!$G258,Tables_for_Reference!$J$15:$J$21,Tables_for_Reference!$H$15:$H$21),"Error"))</f>
        <v>#VALUE!</v>
      </c>
      <c r="I258" s="135" t="e">
        <f>$D258/IF($E258="S",_xlfn.XLOOKUP($G258,Tables_for_Reference!$J$24:$J$29,Tables_for_Reference!$I$24:$I$29),IF(ESG!E258="W",_xlfn.XLOOKUP(ESG!G258,Tables_for_Reference!$J$24:$J$29,Tables_for_Reference!$H$24:$H$29),"Error"))</f>
        <v>#VALUE!</v>
      </c>
    </row>
    <row r="259" spans="1:9" x14ac:dyDescent="0.2">
      <c r="A259" s="26" t="s">
        <v>306</v>
      </c>
      <c r="B259" s="14" t="s">
        <v>307</v>
      </c>
      <c r="C259" s="15" t="s">
        <v>555</v>
      </c>
      <c r="D259" s="84">
        <v>12</v>
      </c>
      <c r="E259" s="84" t="s">
        <v>525</v>
      </c>
      <c r="F259" s="17" t="s">
        <v>309</v>
      </c>
      <c r="G259" s="18">
        <v>2024</v>
      </c>
      <c r="H259" s="135" t="e">
        <f>D259/IF(E259="S",_xlfn.XLOOKUP($G259,Tables_for_Reference!$J$15:$J$21,Tables_for_Reference!$I$15:$I$21),IF(ESG!$E259="W",_xlfn.XLOOKUP(ESG!$G259,Tables_for_Reference!$J$15:$J$21,Tables_for_Reference!$H$15:$H$21),"Error"))</f>
        <v>#VALUE!</v>
      </c>
      <c r="I259" s="135" t="e">
        <f>$D259/IF($E259="S",_xlfn.XLOOKUP($G259,Tables_for_Reference!$J$24:$J$29,Tables_for_Reference!$I$24:$I$29),IF(ESG!E259="W",_xlfn.XLOOKUP(ESG!G259,Tables_for_Reference!$J$24:$J$29,Tables_for_Reference!$H$24:$H$29),"Error"))</f>
        <v>#VALUE!</v>
      </c>
    </row>
    <row r="260" spans="1:9" ht="26" x14ac:dyDescent="0.2">
      <c r="A260" s="26" t="s">
        <v>306</v>
      </c>
      <c r="B260" s="14" t="s">
        <v>307</v>
      </c>
      <c r="C260" s="15" t="s">
        <v>310</v>
      </c>
      <c r="D260" s="85">
        <v>0.8571428571428571</v>
      </c>
      <c r="E260" s="84" t="s">
        <v>525</v>
      </c>
      <c r="F260" s="24" t="s">
        <v>99</v>
      </c>
      <c r="G260" s="18">
        <v>2024</v>
      </c>
      <c r="H260" s="135" t="e">
        <f>D260/IF(E260="S",_xlfn.XLOOKUP($G260,Tables_for_Reference!$J$15:$J$21,Tables_for_Reference!$I$15:$I$21),IF(ESG!$E260="W",_xlfn.XLOOKUP(ESG!$G260,Tables_for_Reference!$J$15:$J$21,Tables_for_Reference!$H$15:$H$21),"Error"))</f>
        <v>#VALUE!</v>
      </c>
      <c r="I260" s="135" t="e">
        <f>$D260/IF($E260="S",_xlfn.XLOOKUP($G260,Tables_for_Reference!$J$24:$J$29,Tables_for_Reference!$I$24:$I$29),IF(ESG!E260="W",_xlfn.XLOOKUP(ESG!G260,Tables_for_Reference!$J$24:$J$29,Tables_for_Reference!$H$24:$H$29),"Error"))</f>
        <v>#VALUE!</v>
      </c>
    </row>
    <row r="261" spans="1:9" x14ac:dyDescent="0.2">
      <c r="A261" s="26" t="s">
        <v>306</v>
      </c>
      <c r="B261" s="14" t="s">
        <v>558</v>
      </c>
      <c r="C261" s="27" t="s">
        <v>220</v>
      </c>
      <c r="D261" s="84" t="s">
        <v>313</v>
      </c>
      <c r="E261" s="84" t="s">
        <v>525</v>
      </c>
      <c r="F261" s="24"/>
      <c r="G261" s="18">
        <v>2024</v>
      </c>
      <c r="H261" s="135" t="e">
        <f>D261/IF(E261="S",_xlfn.XLOOKUP($G261,Tables_for_Reference!$J$15:$J$21,Tables_for_Reference!$I$15:$I$21),IF(ESG!$E261="W",_xlfn.XLOOKUP(ESG!$G261,Tables_for_Reference!$J$15:$J$21,Tables_for_Reference!$H$15:$H$21),"Error"))</f>
        <v>#VALUE!</v>
      </c>
      <c r="I261" s="135" t="e">
        <f>$D261/IF($E261="S",_xlfn.XLOOKUP($G261,Tables_for_Reference!$J$24:$J$29,Tables_for_Reference!$I$24:$I$29),IF(ESG!E261="W",_xlfn.XLOOKUP(ESG!G261,Tables_for_Reference!$J$24:$J$29,Tables_for_Reference!$H$24:$H$29),"Error"))</f>
        <v>#VALUE!</v>
      </c>
    </row>
    <row r="262" spans="1:9" x14ac:dyDescent="0.2">
      <c r="A262" s="26" t="s">
        <v>306</v>
      </c>
      <c r="B262" s="14" t="s">
        <v>558</v>
      </c>
      <c r="C262" s="27" t="s">
        <v>220</v>
      </c>
      <c r="D262" s="84" t="s">
        <v>313</v>
      </c>
      <c r="E262" s="84" t="s">
        <v>526</v>
      </c>
      <c r="F262" s="24"/>
      <c r="G262" s="18">
        <v>2023</v>
      </c>
      <c r="H262" s="135" t="e">
        <f>D262/IF(E262="S",_xlfn.XLOOKUP($G262,Tables_for_Reference!$J$15:$J$21,Tables_for_Reference!$I$15:$I$21),IF(ESG!$E262="W",_xlfn.XLOOKUP(ESG!$G262,Tables_for_Reference!$J$15:$J$21,Tables_for_Reference!$H$15:$H$21),"Error"))</f>
        <v>#VALUE!</v>
      </c>
      <c r="I262" s="135" t="e">
        <f>$D262/IF($E262="S",_xlfn.XLOOKUP($G262,Tables_for_Reference!$J$24:$J$29,Tables_for_Reference!$I$24:$I$29),IF(ESG!E262="W",_xlfn.XLOOKUP(ESG!G262,Tables_for_Reference!$J$24:$J$29,Tables_for_Reference!$H$24:$H$29),"Error"))</f>
        <v>#VALUE!</v>
      </c>
    </row>
    <row r="263" spans="1:9" x14ac:dyDescent="0.2">
      <c r="A263" s="26" t="s">
        <v>306</v>
      </c>
      <c r="B263" s="14" t="s">
        <v>558</v>
      </c>
      <c r="C263" s="27" t="s">
        <v>220</v>
      </c>
      <c r="D263" s="84" t="s">
        <v>313</v>
      </c>
      <c r="E263" s="84" t="s">
        <v>296</v>
      </c>
      <c r="F263" s="24"/>
      <c r="G263" s="18">
        <v>2023</v>
      </c>
      <c r="H263" s="135" t="e">
        <f>D263/IF(E263="S",_xlfn.XLOOKUP($G263,Tables_for_Reference!$J$15:$J$21,Tables_for_Reference!$I$15:$I$21),IF(ESG!$E263="W",_xlfn.XLOOKUP(ESG!$G263,Tables_for_Reference!$J$15:$J$21,Tables_for_Reference!$H$15:$H$21),"Error"))</f>
        <v>#VALUE!</v>
      </c>
      <c r="I263" s="135" t="e">
        <f>$D263/IF($E263="S",_xlfn.XLOOKUP($G263,Tables_for_Reference!$J$24:$J$29,Tables_for_Reference!$I$24:$I$29),IF(ESG!E263="W",_xlfn.XLOOKUP(ESG!G263,Tables_for_Reference!$J$24:$J$29,Tables_for_Reference!$H$24:$H$29),"Error"))</f>
        <v>#VALUE!</v>
      </c>
    </row>
    <row r="264" spans="1:9" x14ac:dyDescent="0.2">
      <c r="A264" s="26" t="s">
        <v>306</v>
      </c>
      <c r="B264" s="14" t="s">
        <v>558</v>
      </c>
      <c r="C264" s="27" t="s">
        <v>220</v>
      </c>
      <c r="D264" s="84" t="s">
        <v>313</v>
      </c>
      <c r="E264" s="84" t="s">
        <v>526</v>
      </c>
      <c r="F264" s="24"/>
      <c r="G264" s="18">
        <v>2022</v>
      </c>
      <c r="H264" s="135" t="e">
        <f>D264/IF(E264="S",_xlfn.XLOOKUP($G264,Tables_for_Reference!$J$15:$J$21,Tables_for_Reference!$I$15:$I$21),IF(ESG!$E264="W",_xlfn.XLOOKUP(ESG!$G264,Tables_for_Reference!$J$15:$J$21,Tables_for_Reference!$H$15:$H$21),"Error"))</f>
        <v>#VALUE!</v>
      </c>
      <c r="I264" s="135" t="e">
        <f>$D264/IF($E264="S",_xlfn.XLOOKUP($G264,Tables_for_Reference!$J$24:$J$29,Tables_for_Reference!$I$24:$I$29),IF(ESG!E264="W",_xlfn.XLOOKUP(ESG!G264,Tables_for_Reference!$J$24:$J$29,Tables_for_Reference!$H$24:$H$29),"Error"))</f>
        <v>#VALUE!</v>
      </c>
    </row>
    <row r="265" spans="1:9" x14ac:dyDescent="0.2">
      <c r="A265" s="26" t="s">
        <v>306</v>
      </c>
      <c r="B265" s="14" t="s">
        <v>558</v>
      </c>
      <c r="C265" s="27" t="s">
        <v>220</v>
      </c>
      <c r="D265" s="84" t="s">
        <v>313</v>
      </c>
      <c r="E265" s="84" t="s">
        <v>296</v>
      </c>
      <c r="F265" s="24"/>
      <c r="G265" s="18">
        <v>2022</v>
      </c>
      <c r="H265" s="135" t="e">
        <f>D265/IF(E265="S",_xlfn.XLOOKUP($G265,Tables_for_Reference!$J$15:$J$21,Tables_for_Reference!$I$15:$I$21),IF(ESG!$E265="W",_xlfn.XLOOKUP(ESG!$G265,Tables_for_Reference!$J$15:$J$21,Tables_for_Reference!$H$15:$H$21),"Error"))</f>
        <v>#VALUE!</v>
      </c>
      <c r="I265" s="135" t="e">
        <f>$D265/IF($E265="S",_xlfn.XLOOKUP($G265,Tables_for_Reference!$J$24:$J$29,Tables_for_Reference!$I$24:$I$29),IF(ESG!E265="W",_xlfn.XLOOKUP(ESG!G265,Tables_for_Reference!$J$24:$J$29,Tables_for_Reference!$H$24:$H$29),"Error"))</f>
        <v>#VALUE!</v>
      </c>
    </row>
    <row r="266" spans="1:9" x14ac:dyDescent="0.2">
      <c r="A266" s="26" t="s">
        <v>306</v>
      </c>
      <c r="B266" s="14" t="s">
        <v>558</v>
      </c>
      <c r="C266" s="27" t="s">
        <v>220</v>
      </c>
      <c r="D266" s="84" t="s">
        <v>313</v>
      </c>
      <c r="E266" s="84" t="s">
        <v>526</v>
      </c>
      <c r="F266" s="24"/>
      <c r="G266" s="18">
        <v>2021</v>
      </c>
      <c r="H266" s="135" t="e">
        <f>D266/IF(E266="S",_xlfn.XLOOKUP($G266,Tables_for_Reference!$J$15:$J$21,Tables_for_Reference!$I$15:$I$21),IF(ESG!$E266="W",_xlfn.XLOOKUP(ESG!$G266,Tables_for_Reference!$J$15:$J$21,Tables_for_Reference!$H$15:$H$21),"Error"))</f>
        <v>#VALUE!</v>
      </c>
      <c r="I266" s="135" t="e">
        <f>$D266/IF($E266="S",_xlfn.XLOOKUP($G266,Tables_for_Reference!$J$24:$J$29,Tables_for_Reference!$I$24:$I$29),IF(ESG!E266="W",_xlfn.XLOOKUP(ESG!G266,Tables_for_Reference!$J$24:$J$29,Tables_for_Reference!$H$24:$H$29),"Error"))</f>
        <v>#VALUE!</v>
      </c>
    </row>
    <row r="267" spans="1:9" x14ac:dyDescent="0.2">
      <c r="A267" s="26" t="s">
        <v>306</v>
      </c>
      <c r="B267" s="14" t="s">
        <v>558</v>
      </c>
      <c r="C267" s="27" t="s">
        <v>220</v>
      </c>
      <c r="D267" s="84" t="s">
        <v>313</v>
      </c>
      <c r="E267" s="84" t="s">
        <v>296</v>
      </c>
      <c r="F267" s="24"/>
      <c r="G267" s="18">
        <v>2021</v>
      </c>
      <c r="H267" s="135" t="e">
        <f>D267/IF(E267="S",_xlfn.XLOOKUP($G267,Tables_for_Reference!$J$15:$J$21,Tables_for_Reference!$I$15:$I$21),IF(ESG!$E267="W",_xlfn.XLOOKUP(ESG!$G267,Tables_for_Reference!$J$15:$J$21,Tables_for_Reference!$H$15:$H$21),"Error"))</f>
        <v>#VALUE!</v>
      </c>
      <c r="I267" s="135" t="e">
        <f>$D267/IF($E267="S",_xlfn.XLOOKUP($G267,Tables_for_Reference!$J$24:$J$29,Tables_for_Reference!$I$24:$I$29),IF(ESG!E267="W",_xlfn.XLOOKUP(ESG!G267,Tables_for_Reference!$J$24:$J$29,Tables_for_Reference!$H$24:$H$29),"Error"))</f>
        <v>#VALUE!</v>
      </c>
    </row>
    <row r="268" spans="1:9" x14ac:dyDescent="0.2">
      <c r="A268" s="26" t="s">
        <v>306</v>
      </c>
      <c r="B268" s="14" t="s">
        <v>558</v>
      </c>
      <c r="C268" s="27" t="s">
        <v>220</v>
      </c>
      <c r="D268" s="84" t="s">
        <v>313</v>
      </c>
      <c r="E268" s="84" t="s">
        <v>526</v>
      </c>
      <c r="F268" s="24"/>
      <c r="G268" s="18">
        <v>2020</v>
      </c>
      <c r="H268" s="135" t="e">
        <f>D268/IF(E268="S",_xlfn.XLOOKUP($G268,Tables_for_Reference!$J$15:$J$21,Tables_for_Reference!$I$15:$I$21),IF(ESG!$E268="W",_xlfn.XLOOKUP(ESG!$G268,Tables_for_Reference!$J$15:$J$21,Tables_for_Reference!$H$15:$H$21),"Error"))</f>
        <v>#VALUE!</v>
      </c>
      <c r="I268" s="135" t="e">
        <f>$D268/IF($E268="S",_xlfn.XLOOKUP($G268,Tables_for_Reference!$J$24:$J$29,Tables_for_Reference!$I$24:$I$29),IF(ESG!E268="W",_xlfn.XLOOKUP(ESG!G268,Tables_for_Reference!$J$24:$J$29,Tables_for_Reference!$H$24:$H$29),"Error"))</f>
        <v>#VALUE!</v>
      </c>
    </row>
    <row r="269" spans="1:9" x14ac:dyDescent="0.2">
      <c r="A269" s="26" t="s">
        <v>306</v>
      </c>
      <c r="B269" s="14" t="s">
        <v>558</v>
      </c>
      <c r="C269" s="27" t="s">
        <v>220</v>
      </c>
      <c r="D269" s="84" t="s">
        <v>313</v>
      </c>
      <c r="E269" s="84" t="s">
        <v>296</v>
      </c>
      <c r="F269" s="24"/>
      <c r="G269" s="18">
        <v>2020</v>
      </c>
      <c r="H269" s="135" t="e">
        <f>D269/IF(E269="S",_xlfn.XLOOKUP($G269,Tables_for_Reference!$J$15:$J$21,Tables_for_Reference!$I$15:$I$21),IF(ESG!$E269="W",_xlfn.XLOOKUP(ESG!$G269,Tables_for_Reference!$J$15:$J$21,Tables_for_Reference!$H$15:$H$21),"Error"))</f>
        <v>#VALUE!</v>
      </c>
      <c r="I269" s="135" t="e">
        <f>$D269/IF($E269="S",_xlfn.XLOOKUP($G269,Tables_for_Reference!$J$24:$J$29,Tables_for_Reference!$I$24:$I$29),IF(ESG!E269="W",_xlfn.XLOOKUP(ESG!G269,Tables_for_Reference!$J$24:$J$29,Tables_for_Reference!$H$24:$H$29),"Error"))</f>
        <v>#VALUE!</v>
      </c>
    </row>
    <row r="270" spans="1:9" x14ac:dyDescent="0.2">
      <c r="A270" s="26" t="s">
        <v>306</v>
      </c>
      <c r="B270" s="14" t="s">
        <v>558</v>
      </c>
      <c r="C270" s="27" t="s">
        <v>220</v>
      </c>
      <c r="D270" s="84" t="s">
        <v>313</v>
      </c>
      <c r="E270" s="84" t="s">
        <v>526</v>
      </c>
      <c r="F270" s="24"/>
      <c r="G270" s="18">
        <v>2019</v>
      </c>
      <c r="H270" s="135" t="e">
        <f>D270/IF(E270="S",_xlfn.XLOOKUP($G270,Tables_for_Reference!$J$15:$J$21,Tables_for_Reference!$I$15:$I$21),IF(ESG!$E270="W",_xlfn.XLOOKUP(ESG!$G270,Tables_for_Reference!$J$15:$J$21,Tables_for_Reference!$H$15:$H$21),"Error"))</f>
        <v>#VALUE!</v>
      </c>
      <c r="I270" s="135" t="e">
        <f>$D270/IF($E270="S",_xlfn.XLOOKUP($G270,Tables_for_Reference!$J$24:$J$29,Tables_for_Reference!$I$24:$I$29),IF(ESG!E270="W",_xlfn.XLOOKUP(ESG!G270,Tables_for_Reference!$J$24:$J$29,Tables_for_Reference!$H$24:$H$29),"Error"))</f>
        <v>#VALUE!</v>
      </c>
    </row>
    <row r="271" spans="1:9" x14ac:dyDescent="0.2">
      <c r="A271" s="26" t="s">
        <v>306</v>
      </c>
      <c r="B271" s="14" t="s">
        <v>558</v>
      </c>
      <c r="C271" s="27" t="s">
        <v>220</v>
      </c>
      <c r="D271" s="84" t="s">
        <v>313</v>
      </c>
      <c r="E271" s="84" t="s">
        <v>296</v>
      </c>
      <c r="F271" s="24"/>
      <c r="G271" s="18">
        <v>2019</v>
      </c>
      <c r="H271" s="135" t="e">
        <f>D271/IF(E271="S",_xlfn.XLOOKUP($G271,Tables_for_Reference!$J$15:$J$21,Tables_for_Reference!$I$15:$I$21),IF(ESG!$E271="W",_xlfn.XLOOKUP(ESG!$G271,Tables_for_Reference!$J$15:$J$21,Tables_for_Reference!$H$15:$H$21),"Error"))</f>
        <v>#VALUE!</v>
      </c>
      <c r="I271" s="135" t="e">
        <f>$D271/IF($E271="S",_xlfn.XLOOKUP($G271,Tables_for_Reference!$J$24:$J$29,Tables_for_Reference!$I$24:$I$29),IF(ESG!E271="W",_xlfn.XLOOKUP(ESG!G271,Tables_for_Reference!$J$24:$J$29,Tables_for_Reference!$H$24:$H$29),"Error"))</f>
        <v>#VALUE!</v>
      </c>
    </row>
    <row r="272" spans="1:9" x14ac:dyDescent="0.2">
      <c r="A272" s="26" t="s">
        <v>306</v>
      </c>
      <c r="B272" s="22" t="s">
        <v>307</v>
      </c>
      <c r="C272" s="23" t="s">
        <v>311</v>
      </c>
      <c r="D272" s="85">
        <v>0.43</v>
      </c>
      <c r="E272" s="84" t="s">
        <v>525</v>
      </c>
      <c r="F272" s="17" t="s">
        <v>99</v>
      </c>
      <c r="G272" s="18">
        <v>2024</v>
      </c>
      <c r="H272" s="135" t="e">
        <f>D272/IF(E272="S",_xlfn.XLOOKUP($G272,Tables_for_Reference!$J$15:$J$21,Tables_for_Reference!$I$15:$I$21),IF(ESG!$E272="W",_xlfn.XLOOKUP(ESG!$G272,Tables_for_Reference!$J$15:$J$21,Tables_for_Reference!$H$15:$H$21),"Error"))</f>
        <v>#VALUE!</v>
      </c>
      <c r="I272" s="135" t="e">
        <f>$D272/IF($E272="S",_xlfn.XLOOKUP($G272,Tables_for_Reference!$J$24:$J$29,Tables_for_Reference!$I$24:$I$29),IF(ESG!E272="W",_xlfn.XLOOKUP(ESG!G272,Tables_for_Reference!$J$24:$J$29,Tables_for_Reference!$H$24:$H$29),"Error"))</f>
        <v>#VALUE!</v>
      </c>
    </row>
    <row r="273" spans="1:9" x14ac:dyDescent="0.2">
      <c r="A273" s="26" t="s">
        <v>306</v>
      </c>
      <c r="B273" s="22" t="s">
        <v>307</v>
      </c>
      <c r="C273" s="23" t="s">
        <v>556</v>
      </c>
      <c r="D273" s="129">
        <v>63.5</v>
      </c>
      <c r="E273" s="84" t="s">
        <v>525</v>
      </c>
      <c r="F273" s="17" t="s">
        <v>557</v>
      </c>
      <c r="G273" s="18">
        <v>2024</v>
      </c>
      <c r="H273" s="135" t="e">
        <f>D273/IF(E273="S",_xlfn.XLOOKUP($G273,Tables_for_Reference!$J$15:$J$21,Tables_for_Reference!$I$15:$I$21),IF(ESG!$E273="W",_xlfn.XLOOKUP(ESG!$G273,Tables_for_Reference!$J$15:$J$21,Tables_for_Reference!$H$15:$H$21),"Error"))</f>
        <v>#VALUE!</v>
      </c>
      <c r="I273" s="135" t="e">
        <f>$D273/IF($E273="S",_xlfn.XLOOKUP($G273,Tables_for_Reference!$J$24:$J$29,Tables_for_Reference!$I$24:$I$29),IF(ESG!E273="W",_xlfn.XLOOKUP(ESG!G273,Tables_for_Reference!$J$24:$J$29,Tables_for_Reference!$H$24:$H$29),"Error"))</f>
        <v>#VALUE!</v>
      </c>
    </row>
    <row r="274" spans="1:9" x14ac:dyDescent="0.2">
      <c r="A274" s="134" t="s">
        <v>62</v>
      </c>
      <c r="B274" s="14" t="s">
        <v>547</v>
      </c>
      <c r="C274" s="15" t="s">
        <v>550</v>
      </c>
      <c r="D274" s="73">
        <v>6954000</v>
      </c>
      <c r="E274" s="74" t="s">
        <v>296</v>
      </c>
      <c r="F274" s="17" t="s">
        <v>546</v>
      </c>
      <c r="G274" s="18">
        <v>2019</v>
      </c>
      <c r="H274" s="135">
        <f>D274/IF(E274="S",_xlfn.XLOOKUP($G274,Tables_for_Reference!$J$15:$J$21,Tables_for_Reference!$I$15:$I$21),IF(ESG!$E274="W",_xlfn.XLOOKUP(ESG!$G274,Tables_for_Reference!$J$15:$J$21,Tables_for_Reference!$H$15:$H$21),"Error"))</f>
        <v>768.56763925729445</v>
      </c>
      <c r="I274" s="135">
        <f>$D274/IF($E274="S",_xlfn.XLOOKUP($G274,Tables_for_Reference!$J$24:$J$29,Tables_for_Reference!$I$24:$I$29),IF(ESG!E274="W",_xlfn.XLOOKUP(ESG!G274,Tables_for_Reference!$J$24:$J$29,Tables_for_Reference!$H$24:$H$29),"Error"))</f>
        <v>847.57331253199425</v>
      </c>
    </row>
    <row r="275" spans="1:9" x14ac:dyDescent="0.2">
      <c r="A275" s="134" t="s">
        <v>62</v>
      </c>
      <c r="B275" s="14" t="s">
        <v>547</v>
      </c>
      <c r="C275" s="15" t="s">
        <v>550</v>
      </c>
      <c r="D275" s="73">
        <v>15218523</v>
      </c>
      <c r="E275" s="74" t="s">
        <v>526</v>
      </c>
      <c r="F275" s="17" t="s">
        <v>546</v>
      </c>
      <c r="G275" s="18">
        <v>2019</v>
      </c>
      <c r="H275" s="135">
        <f>D275/IF(E275="S",_xlfn.XLOOKUP($G275,Tables_for_Reference!$J$15:$J$21,Tables_for_Reference!$I$15:$I$21),IF(ESG!$E275="W",_xlfn.XLOOKUP(ESG!$G275,Tables_for_Reference!$J$15:$J$21,Tables_for_Reference!$H$15:$H$21),"Error"))</f>
        <v>832.11345617584345</v>
      </c>
      <c r="I275" s="135">
        <f>$D275/IF($E275="S",_xlfn.XLOOKUP($G275,Tables_for_Reference!$J$24:$J$29,Tables_for_Reference!$I$24:$I$29),IF(ESG!E275="W",_xlfn.XLOOKUP(ESG!G275,Tables_for_Reference!$J$24:$J$29,Tables_for_Reference!$H$24:$H$29),"Error"))</f>
        <v>1619.5431423463308</v>
      </c>
    </row>
    <row r="276" spans="1:9" x14ac:dyDescent="0.2">
      <c r="A276" s="134" t="s">
        <v>62</v>
      </c>
      <c r="B276" s="14" t="s">
        <v>547</v>
      </c>
      <c r="C276" s="15" t="s">
        <v>551</v>
      </c>
      <c r="D276" s="73">
        <v>7396200</v>
      </c>
      <c r="E276" s="74" t="s">
        <v>296</v>
      </c>
      <c r="F276" s="17" t="s">
        <v>546</v>
      </c>
      <c r="G276" s="18">
        <v>2019</v>
      </c>
      <c r="H276" s="135">
        <f>D276/IF(E276="S",_xlfn.XLOOKUP($G276,Tables_for_Reference!$J$15:$J$21,Tables_for_Reference!$I$15:$I$21),IF(ESG!$E276="W",_xlfn.XLOOKUP(ESG!$G276,Tables_for_Reference!$J$15:$J$21,Tables_for_Reference!$H$15:$H$21),"Error"))</f>
        <v>817.44031830238725</v>
      </c>
      <c r="I276" s="135">
        <f>$D276/IF($E276="S",_xlfn.XLOOKUP($G276,Tables_for_Reference!$J$24:$J$29,Tables_for_Reference!$I$24:$I$29),IF(ESG!E276="W",_xlfn.XLOOKUP(ESG!G276,Tables_for_Reference!$J$24:$J$29,Tables_for_Reference!$H$24:$H$29),"Error"))</f>
        <v>901.46990712527111</v>
      </c>
    </row>
    <row r="277" spans="1:9" x14ac:dyDescent="0.2">
      <c r="A277" s="134" t="s">
        <v>62</v>
      </c>
      <c r="B277" s="14" t="s">
        <v>547</v>
      </c>
      <c r="C277" s="15" t="s">
        <v>545</v>
      </c>
      <c r="D277" s="73">
        <v>14350200</v>
      </c>
      <c r="E277" s="74" t="s">
        <v>296</v>
      </c>
      <c r="F277" s="17" t="s">
        <v>546</v>
      </c>
      <c r="G277" s="18">
        <v>2019</v>
      </c>
      <c r="H277" s="135">
        <f>D277/IF(E277="S",_xlfn.XLOOKUP($G277,Tables_for_Reference!$J$15:$J$21,Tables_for_Reference!$I$15:$I$21),IF(ESG!$E277="W",_xlfn.XLOOKUP(ESG!$G277,Tables_for_Reference!$J$15:$J$21,Tables_for_Reference!$H$15:$H$21),"Error"))</f>
        <v>1586.0079575596817</v>
      </c>
      <c r="I277" s="135">
        <f>$D277/IF($E277="S",_xlfn.XLOOKUP($G277,Tables_for_Reference!$J$24:$J$29,Tables_for_Reference!$I$24:$I$29),IF(ESG!E277="W",_xlfn.XLOOKUP(ESG!G277,Tables_for_Reference!$J$24:$J$29,Tables_for_Reference!$H$24:$H$29),"Error"))</f>
        <v>1749.0432196572654</v>
      </c>
    </row>
    <row r="278" spans="1:9" x14ac:dyDescent="0.2">
      <c r="A278" s="134" t="s">
        <v>62</v>
      </c>
      <c r="B278" s="14" t="s">
        <v>547</v>
      </c>
      <c r="C278" s="15" t="s">
        <v>550</v>
      </c>
      <c r="D278" s="73">
        <v>14463318</v>
      </c>
      <c r="E278" s="74" t="s">
        <v>526</v>
      </c>
      <c r="F278" s="17" t="s">
        <v>546</v>
      </c>
      <c r="G278" s="18">
        <v>2020</v>
      </c>
      <c r="H278" s="135">
        <f>D278/IF(E278="S",_xlfn.XLOOKUP($G278,Tables_for_Reference!$J$15:$J$21,Tables_for_Reference!$I$15:$I$21),IF(ESG!$E278="W",_xlfn.XLOOKUP(ESG!$G278,Tables_for_Reference!$J$15:$J$21,Tables_for_Reference!$H$15:$H$21),"Error"))</f>
        <v>822.77049627960957</v>
      </c>
      <c r="I278" s="135">
        <f>$D278/IF($E278="S",_xlfn.XLOOKUP($G278,Tables_for_Reference!$J$24:$J$29,Tables_for_Reference!$I$24:$I$29),IF(ESG!E278="W",_xlfn.XLOOKUP(ESG!G278,Tables_for_Reference!$J$24:$J$29,Tables_for_Reference!$H$24:$H$29),"Error"))</f>
        <v>1598.8103423499113</v>
      </c>
    </row>
    <row r="279" spans="1:9" x14ac:dyDescent="0.2">
      <c r="A279" s="134" t="s">
        <v>62</v>
      </c>
      <c r="B279" s="14" t="s">
        <v>547</v>
      </c>
      <c r="C279" s="15" t="s">
        <v>550</v>
      </c>
      <c r="D279" s="73">
        <v>7049000</v>
      </c>
      <c r="E279" s="74" t="s">
        <v>296</v>
      </c>
      <c r="F279" s="17" t="s">
        <v>546</v>
      </c>
      <c r="G279" s="18">
        <v>2020</v>
      </c>
      <c r="H279" s="135">
        <f>D279/IF(E279="S",_xlfn.XLOOKUP($G279,Tables_for_Reference!$J$15:$J$21,Tables_for_Reference!$I$15:$I$21),IF(ESG!$E279="W",_xlfn.XLOOKUP(ESG!$G279,Tables_for_Reference!$J$15:$J$21,Tables_for_Reference!$H$15:$H$21),"Error"))</f>
        <v>826.37749120750289</v>
      </c>
      <c r="I279" s="135">
        <f>$D279/IF($E279="S",_xlfn.XLOOKUP($G279,Tables_for_Reference!$J$24:$J$29,Tables_for_Reference!$I$24:$I$29),IF(ESG!E279="W",_xlfn.XLOOKUP(ESG!G279,Tables_for_Reference!$J$24:$J$29,Tables_for_Reference!$H$24:$H$29),"Error"))</f>
        <v>712.1496837808894</v>
      </c>
    </row>
    <row r="280" spans="1:9" x14ac:dyDescent="0.2">
      <c r="A280" s="134" t="s">
        <v>62</v>
      </c>
      <c r="B280" s="14" t="s">
        <v>547</v>
      </c>
      <c r="C280" s="15" t="s">
        <v>551</v>
      </c>
      <c r="D280" s="73">
        <v>7461140</v>
      </c>
      <c r="E280" s="74" t="s">
        <v>296</v>
      </c>
      <c r="F280" s="17" t="s">
        <v>546</v>
      </c>
      <c r="G280" s="18">
        <v>2020</v>
      </c>
      <c r="H280" s="135">
        <f>D280/IF(E280="S",_xlfn.XLOOKUP($G280,Tables_for_Reference!$J$15:$J$21,Tables_for_Reference!$I$15:$I$21),IF(ESG!$E280="W",_xlfn.XLOOKUP(ESG!$G280,Tables_for_Reference!$J$15:$J$21,Tables_for_Reference!$H$15:$H$21),"Error"))</f>
        <v>874.69402110199292</v>
      </c>
      <c r="I280" s="135">
        <f>$D280/IF($E280="S",_xlfn.XLOOKUP($G280,Tables_for_Reference!$J$24:$J$29,Tables_for_Reference!$I$24:$I$29),IF(ESG!E280="W",_xlfn.XLOOKUP(ESG!G280,Tables_for_Reference!$J$24:$J$29,Tables_for_Reference!$H$24:$H$29),"Error"))</f>
        <v>753.78755733365654</v>
      </c>
    </row>
    <row r="281" spans="1:9" x14ac:dyDescent="0.2">
      <c r="A281" s="134" t="s">
        <v>62</v>
      </c>
      <c r="B281" s="14" t="s">
        <v>547</v>
      </c>
      <c r="C281" s="15" t="s">
        <v>545</v>
      </c>
      <c r="D281" s="73">
        <v>14510140</v>
      </c>
      <c r="E281" s="74" t="s">
        <v>296</v>
      </c>
      <c r="F281" s="17" t="s">
        <v>546</v>
      </c>
      <c r="G281" s="18">
        <v>2020</v>
      </c>
      <c r="H281" s="135">
        <f>D281/IF(E281="S",_xlfn.XLOOKUP($G281,Tables_for_Reference!$J$15:$J$21,Tables_for_Reference!$I$15:$I$21),IF(ESG!$E281="W",_xlfn.XLOOKUP(ESG!$G281,Tables_for_Reference!$J$15:$J$21,Tables_for_Reference!$H$15:$H$21),"Error"))</f>
        <v>1701.0715123094958</v>
      </c>
      <c r="I281" s="135">
        <f>$D281/IF($E281="S",_xlfn.XLOOKUP($G281,Tables_for_Reference!$J$24:$J$29,Tables_for_Reference!$I$24:$I$29),IF(ESG!E281="W",_xlfn.XLOOKUP(ESG!G281,Tables_for_Reference!$J$24:$J$29,Tables_for_Reference!$H$24:$H$29),"Error"))</f>
        <v>1465.9372411145459</v>
      </c>
    </row>
    <row r="282" spans="1:9" x14ac:dyDescent="0.2">
      <c r="A282" s="134" t="s">
        <v>62</v>
      </c>
      <c r="B282" s="14" t="s">
        <v>547</v>
      </c>
      <c r="C282" s="15" t="s">
        <v>550</v>
      </c>
      <c r="D282" s="73">
        <v>14776992</v>
      </c>
      <c r="E282" s="74" t="s">
        <v>526</v>
      </c>
      <c r="F282" s="17" t="s">
        <v>546</v>
      </c>
      <c r="G282" s="18">
        <v>2021</v>
      </c>
      <c r="H282" s="135">
        <f>D282/IF(E282="S",_xlfn.XLOOKUP($G282,Tables_for_Reference!$J$15:$J$21,Tables_for_Reference!$I$15:$I$21),IF(ESG!$E282="W",_xlfn.XLOOKUP(ESG!$G282,Tables_for_Reference!$J$15:$J$21,Tables_for_Reference!$H$15:$H$21),"Error"))</f>
        <v>788.27020020164196</v>
      </c>
      <c r="I282" s="135">
        <f>$D282/IF($E282="S",_xlfn.XLOOKUP($G282,Tables_for_Reference!$J$24:$J$29,Tables_for_Reference!$I$24:$I$29),IF(ESG!E282="W",_xlfn.XLOOKUP(ESG!G282,Tables_for_Reference!$J$24:$J$29,Tables_for_Reference!$H$24:$H$29),"Error"))</f>
        <v>1119.0452101476712</v>
      </c>
    </row>
    <row r="283" spans="1:9" x14ac:dyDescent="0.2">
      <c r="A283" s="134" t="s">
        <v>62</v>
      </c>
      <c r="B283" s="14" t="s">
        <v>547</v>
      </c>
      <c r="C283" s="15" t="s">
        <v>550</v>
      </c>
      <c r="D283" s="73">
        <v>7282000</v>
      </c>
      <c r="E283" s="74" t="s">
        <v>296</v>
      </c>
      <c r="F283" s="17" t="s">
        <v>546</v>
      </c>
      <c r="G283" s="18">
        <v>2021</v>
      </c>
      <c r="H283" s="135">
        <f>D283/IF(E283="S",_xlfn.XLOOKUP($G283,Tables_for_Reference!$J$15:$J$21,Tables_for_Reference!$I$15:$I$21),IF(ESG!$E283="W",_xlfn.XLOOKUP(ESG!$G283,Tables_for_Reference!$J$15:$J$21,Tables_for_Reference!$H$15:$H$21),"Error"))</f>
        <v>720.49074898585138</v>
      </c>
      <c r="I283" s="135">
        <f>$D283/IF($E283="S",_xlfn.XLOOKUP($G283,Tables_for_Reference!$J$24:$J$29,Tables_for_Reference!$I$24:$I$29),IF(ESG!E283="W",_xlfn.XLOOKUP(ESG!G283,Tables_for_Reference!$J$24:$J$29,Tables_for_Reference!$H$24:$H$29),"Error"))</f>
        <v>582.90974584750847</v>
      </c>
    </row>
    <row r="284" spans="1:9" x14ac:dyDescent="0.2">
      <c r="A284" s="134" t="s">
        <v>62</v>
      </c>
      <c r="B284" s="14" t="s">
        <v>547</v>
      </c>
      <c r="C284" s="15" t="s">
        <v>551</v>
      </c>
      <c r="D284" s="73">
        <v>8055900</v>
      </c>
      <c r="E284" s="74" t="s">
        <v>296</v>
      </c>
      <c r="F284" s="17" t="s">
        <v>546</v>
      </c>
      <c r="G284" s="18">
        <v>2021</v>
      </c>
      <c r="H284" s="135">
        <f>D284/IF(E284="S",_xlfn.XLOOKUP($G284,Tables_for_Reference!$J$15:$J$21,Tables_for_Reference!$I$15:$I$21),IF(ESG!$E284="W",_xlfn.XLOOKUP(ESG!$G284,Tables_for_Reference!$J$15:$J$21,Tables_for_Reference!$H$15:$H$21),"Error"))</f>
        <v>797.06144256455923</v>
      </c>
      <c r="I284" s="135">
        <f>$D284/IF($E284="S",_xlfn.XLOOKUP($G284,Tables_for_Reference!$J$24:$J$29,Tables_for_Reference!$I$24:$I$29),IF(ESG!E284="W",_xlfn.XLOOKUP(ESG!G284,Tables_for_Reference!$J$24:$J$29,Tables_for_Reference!$H$24:$H$29),"Error"))</f>
        <v>644.8589153492095</v>
      </c>
    </row>
    <row r="285" spans="1:9" x14ac:dyDescent="0.2">
      <c r="A285" s="134" t="s">
        <v>62</v>
      </c>
      <c r="B285" s="14" t="s">
        <v>547</v>
      </c>
      <c r="C285" s="15" t="s">
        <v>545</v>
      </c>
      <c r="D285" s="73">
        <v>15337900</v>
      </c>
      <c r="E285" s="74" t="s">
        <v>296</v>
      </c>
      <c r="F285" s="17" t="s">
        <v>546</v>
      </c>
      <c r="G285" s="18">
        <v>2021</v>
      </c>
      <c r="H285" s="135">
        <f>D285/IF(E285="S",_xlfn.XLOOKUP($G285,Tables_for_Reference!$J$15:$J$21,Tables_for_Reference!$I$15:$I$21),IF(ESG!$E285="W",_xlfn.XLOOKUP(ESG!$G285,Tables_for_Reference!$J$15:$J$21,Tables_for_Reference!$H$15:$H$21),"Error"))</f>
        <v>1517.5521915504105</v>
      </c>
      <c r="I285" s="135">
        <f>$D285/IF($E285="S",_xlfn.XLOOKUP($G285,Tables_for_Reference!$J$24:$J$29,Tables_for_Reference!$I$24:$I$29),IF(ESG!E285="W",_xlfn.XLOOKUP(ESG!G285,Tables_for_Reference!$J$24:$J$29,Tables_for_Reference!$H$24:$H$29),"Error"))</f>
        <v>1227.7686611967181</v>
      </c>
    </row>
    <row r="286" spans="1:9" x14ac:dyDescent="0.2">
      <c r="A286" s="134" t="s">
        <v>62</v>
      </c>
      <c r="B286" s="14" t="s">
        <v>547</v>
      </c>
      <c r="C286" s="15" t="s">
        <v>550</v>
      </c>
      <c r="D286" s="73">
        <v>14437610</v>
      </c>
      <c r="E286" s="74" t="s">
        <v>526</v>
      </c>
      <c r="F286" s="17" t="s">
        <v>546</v>
      </c>
      <c r="G286" s="18">
        <v>2022</v>
      </c>
      <c r="H286" s="135">
        <f>D286/IF(E286="S",_xlfn.XLOOKUP($G286,Tables_for_Reference!$J$15:$J$21,Tables_for_Reference!$I$15:$I$21),IF(ESG!$E286="W",_xlfn.XLOOKUP(ESG!$G286,Tables_for_Reference!$J$15:$J$21,Tables_for_Reference!$H$15:$H$21),"Error"))</f>
        <v>679.20918307341287</v>
      </c>
      <c r="I286" s="135">
        <f>$D286/IF($E286="S",_xlfn.XLOOKUP($G286,Tables_for_Reference!$J$24:$J$29,Tables_for_Reference!$I$24:$I$29),IF(ESG!E286="W",_xlfn.XLOOKUP(ESG!G286,Tables_for_Reference!$J$24:$J$29,Tables_for_Reference!$H$24:$H$29),"Error"))</f>
        <v>1837.2200447928333</v>
      </c>
    </row>
    <row r="287" spans="1:9" x14ac:dyDescent="0.2">
      <c r="A287" s="134" t="s">
        <v>62</v>
      </c>
      <c r="B287" s="14" t="s">
        <v>547</v>
      </c>
      <c r="C287" s="15" t="s">
        <v>550</v>
      </c>
      <c r="D287" s="73">
        <v>7523000</v>
      </c>
      <c r="E287" s="74" t="s">
        <v>296</v>
      </c>
      <c r="F287" s="17" t="s">
        <v>546</v>
      </c>
      <c r="G287" s="18">
        <v>2022</v>
      </c>
      <c r="H287" s="135">
        <f>D287/IF(E287="S",_xlfn.XLOOKUP($G287,Tables_for_Reference!$J$15:$J$21,Tables_for_Reference!$I$15:$I$21),IF(ESG!$E287="W",_xlfn.XLOOKUP(ESG!$G287,Tables_for_Reference!$J$15:$J$21,Tables_for_Reference!$H$15:$H$21),"Error"))</f>
        <v>587.04642996488485</v>
      </c>
      <c r="I287" s="135">
        <f>$D287/IF($E287="S",_xlfn.XLOOKUP($G287,Tables_for_Reference!$J$24:$J$29,Tables_for_Reference!$I$24:$I$29),IF(ESG!E287="W",_xlfn.XLOOKUP(ESG!G287,Tables_for_Reference!$J$24:$J$29,Tables_for_Reference!$H$24:$H$29),"Error"))</f>
        <v>837.28436282693383</v>
      </c>
    </row>
    <row r="288" spans="1:9" x14ac:dyDescent="0.2">
      <c r="A288" s="134" t="s">
        <v>62</v>
      </c>
      <c r="B288" s="14" t="s">
        <v>547</v>
      </c>
      <c r="C288" s="15" t="s">
        <v>551</v>
      </c>
      <c r="D288" s="73">
        <v>7850000</v>
      </c>
      <c r="E288" s="74" t="s">
        <v>296</v>
      </c>
      <c r="F288" s="17" t="s">
        <v>546</v>
      </c>
      <c r="G288" s="18">
        <v>2022</v>
      </c>
      <c r="H288" s="135">
        <f>D288/IF(E288="S",_xlfn.XLOOKUP($G288,Tables_for_Reference!$J$15:$J$21,Tables_for_Reference!$I$15:$I$21),IF(ESG!$E288="W",_xlfn.XLOOKUP(ESG!$G288,Tables_for_Reference!$J$15:$J$21,Tables_for_Reference!$H$15:$H$21),"Error"))</f>
        <v>612.56340226297311</v>
      </c>
      <c r="I288" s="135">
        <f>$D288/IF($E288="S",_xlfn.XLOOKUP($G288,Tables_for_Reference!$J$24:$J$29,Tables_for_Reference!$I$24:$I$29),IF(ESG!E288="W",_xlfn.XLOOKUP(ESG!G288,Tables_for_Reference!$J$24:$J$29,Tables_for_Reference!$H$24:$H$29),"Error"))</f>
        <v>873.67835281023929</v>
      </c>
    </row>
    <row r="289" spans="1:9" x14ac:dyDescent="0.2">
      <c r="A289" s="134" t="s">
        <v>62</v>
      </c>
      <c r="B289" s="14" t="s">
        <v>547</v>
      </c>
      <c r="C289" s="15" t="s">
        <v>545</v>
      </c>
      <c r="D289" s="73">
        <v>15373000</v>
      </c>
      <c r="E289" s="74" t="s">
        <v>296</v>
      </c>
      <c r="F289" s="17" t="s">
        <v>546</v>
      </c>
      <c r="G289" s="18">
        <v>2022</v>
      </c>
      <c r="H289" s="135">
        <f>D289/IF(E289="S",_xlfn.XLOOKUP($G289,Tables_for_Reference!$J$15:$J$21,Tables_for_Reference!$I$15:$I$21),IF(ESG!$E289="W",_xlfn.XLOOKUP(ESG!$G289,Tables_for_Reference!$J$15:$J$21,Tables_for_Reference!$H$15:$H$21),"Error"))</f>
        <v>1199.6098322278581</v>
      </c>
      <c r="I289" s="135">
        <f>$D289/IF($E289="S",_xlfn.XLOOKUP($G289,Tables_for_Reference!$J$24:$J$29,Tables_for_Reference!$I$24:$I$29),IF(ESG!E289="W",_xlfn.XLOOKUP(ESG!G289,Tables_for_Reference!$J$24:$J$29,Tables_for_Reference!$H$24:$H$29),"Error"))</f>
        <v>1710.962715637173</v>
      </c>
    </row>
    <row r="290" spans="1:9" x14ac:dyDescent="0.2">
      <c r="A290" s="134" t="s">
        <v>62</v>
      </c>
      <c r="B290" s="14" t="s">
        <v>547</v>
      </c>
      <c r="C290" s="15" t="s">
        <v>550</v>
      </c>
      <c r="D290" s="73">
        <v>12820853</v>
      </c>
      <c r="E290" s="74" t="s">
        <v>526</v>
      </c>
      <c r="F290" s="17" t="s">
        <v>546</v>
      </c>
      <c r="G290" s="18">
        <v>2023</v>
      </c>
      <c r="H290" s="135">
        <f>D290/IF(E290="S",_xlfn.XLOOKUP($G290,Tables_for_Reference!$J$15:$J$21,Tables_for_Reference!$I$15:$I$21),IF(ESG!$E290="W",_xlfn.XLOOKUP(ESG!$G290,Tables_for_Reference!$J$15:$J$21,Tables_for_Reference!$H$15:$H$21),"Error"))</f>
        <v>631.25814869522401</v>
      </c>
      <c r="I290" s="135">
        <f>$D290/IF($E290="S",_xlfn.XLOOKUP($G290,Tables_for_Reference!$J$24:$J$29,Tables_for_Reference!$I$24:$I$29),IF(ESG!E290="W",_xlfn.XLOOKUP(ESG!G290,Tables_for_Reference!$J$24:$J$29,Tables_for_Reference!$H$24:$H$29),"Error"))</f>
        <v>1396.7440162978942</v>
      </c>
    </row>
    <row r="291" spans="1:9" x14ac:dyDescent="0.2">
      <c r="A291" s="134" t="s">
        <v>62</v>
      </c>
      <c r="B291" s="14" t="s">
        <v>547</v>
      </c>
      <c r="C291" s="15" t="s">
        <v>550</v>
      </c>
      <c r="D291" s="73">
        <v>7220000</v>
      </c>
      <c r="E291" s="74" t="s">
        <v>296</v>
      </c>
      <c r="F291" s="17" t="s">
        <v>546</v>
      </c>
      <c r="G291" s="18">
        <v>2023</v>
      </c>
      <c r="H291" s="135">
        <f>D291/IF(E291="S",_xlfn.XLOOKUP($G291,Tables_for_Reference!$J$15:$J$21,Tables_for_Reference!$I$15:$I$21),IF(ESG!$E291="W",_xlfn.XLOOKUP(ESG!$G291,Tables_for_Reference!$J$15:$J$21,Tables_for_Reference!$H$15:$H$21),"Error"))</f>
        <v>640.52519517388214</v>
      </c>
      <c r="I291" s="135">
        <f>$D291/IF($E291="S",_xlfn.XLOOKUP($G291,Tables_for_Reference!$J$24:$J$29,Tables_for_Reference!$I$24:$I$29),IF(ESG!E291="W",_xlfn.XLOOKUP(ESG!G291,Tables_for_Reference!$J$24:$J$29,Tables_for_Reference!$H$24:$H$29),"Error"))</f>
        <v>770.51139759241869</v>
      </c>
    </row>
    <row r="292" spans="1:9" x14ac:dyDescent="0.2">
      <c r="A292" s="134" t="s">
        <v>62</v>
      </c>
      <c r="B292" s="14" t="s">
        <v>547</v>
      </c>
      <c r="C292" s="15" t="s">
        <v>551</v>
      </c>
      <c r="D292" s="73">
        <v>7319000</v>
      </c>
      <c r="E292" s="74" t="s">
        <v>296</v>
      </c>
      <c r="F292" s="17" t="s">
        <v>546</v>
      </c>
      <c r="G292" s="18">
        <v>2023</v>
      </c>
      <c r="H292" s="135">
        <f>D292/IF(E292="S",_xlfn.XLOOKUP($G292,Tables_for_Reference!$J$15:$J$21,Tables_for_Reference!$I$15:$I$21),IF(ESG!$E292="W",_xlfn.XLOOKUP(ESG!$G292,Tables_for_Reference!$J$15:$J$21,Tables_for_Reference!$H$15:$H$21),"Error"))</f>
        <v>649.30801987224982</v>
      </c>
      <c r="I292" s="135">
        <f>$D292/IF($E292="S",_xlfn.XLOOKUP($G292,Tables_for_Reference!$J$24:$J$29,Tables_for_Reference!$I$24:$I$29),IF(ESG!E292="W",_xlfn.XLOOKUP(ESG!G292,Tables_for_Reference!$J$24:$J$29,Tables_for_Reference!$H$24:$H$29),"Error"))</f>
        <v>781.07658157602668</v>
      </c>
    </row>
    <row r="293" spans="1:9" x14ac:dyDescent="0.2">
      <c r="A293" s="134" t="s">
        <v>62</v>
      </c>
      <c r="B293" s="14" t="s">
        <v>547</v>
      </c>
      <c r="C293" s="15" t="s">
        <v>545</v>
      </c>
      <c r="D293" s="73">
        <v>14539000</v>
      </c>
      <c r="E293" s="74" t="s">
        <v>296</v>
      </c>
      <c r="F293" s="17" t="s">
        <v>546</v>
      </c>
      <c r="G293" s="18">
        <v>2023</v>
      </c>
      <c r="H293" s="135">
        <f>D293/IF(E293="S",_xlfn.XLOOKUP($G293,Tables_for_Reference!$J$15:$J$21,Tables_for_Reference!$I$15:$I$21),IF(ESG!$E293="W",_xlfn.XLOOKUP(ESG!$G293,Tables_for_Reference!$J$15:$J$21,Tables_for_Reference!$H$15:$H$21),"Error"))</f>
        <v>1289.833215046132</v>
      </c>
      <c r="I293" s="135">
        <f>$D293/IF($E293="S",_xlfn.XLOOKUP($G293,Tables_for_Reference!$J$24:$J$29,Tables_for_Reference!$I$24:$I$29),IF(ESG!E293="W",_xlfn.XLOOKUP(ESG!G293,Tables_for_Reference!$J$24:$J$29,Tables_for_Reference!$H$24:$H$29),"Error"))</f>
        <v>1551.5879791684454</v>
      </c>
    </row>
    <row r="294" spans="1:9" x14ac:dyDescent="0.2">
      <c r="A294" s="134" t="s">
        <v>62</v>
      </c>
      <c r="B294" s="14" t="s">
        <v>547</v>
      </c>
      <c r="C294" s="15" t="s">
        <v>550</v>
      </c>
      <c r="D294" s="73">
        <v>13021711</v>
      </c>
      <c r="E294" s="74" t="s">
        <v>526</v>
      </c>
      <c r="F294" s="17" t="s">
        <v>546</v>
      </c>
      <c r="G294" s="18">
        <v>2024</v>
      </c>
      <c r="H294" s="135">
        <f>D294/IF(E294="S",_xlfn.XLOOKUP($G294,Tables_for_Reference!$J$15:$J$21,Tables_for_Reference!$I$15:$I$21),IF(ESG!$E294="W",_xlfn.XLOOKUP(ESG!$G294,Tables_for_Reference!$J$15:$J$21,Tables_for_Reference!$H$15:$H$21),"Error"))</f>
        <v>959.24622424615154</v>
      </c>
      <c r="I294" s="135">
        <f>$D294/IF($E294="S",_xlfn.XLOOKUP($G294,Tables_for_Reference!$J$24:$J$29,Tables_for_Reference!$I$24:$I$29),IF(ESG!E294="W",_xlfn.XLOOKUP(ESG!G294,Tables_for_Reference!$J$24:$J$29,Tables_for_Reference!$H$24:$H$29),"Error"))</f>
        <v>938.77176337635512</v>
      </c>
    </row>
    <row r="295" spans="1:9" x14ac:dyDescent="0.2">
      <c r="A295" s="134" t="s">
        <v>62</v>
      </c>
      <c r="B295" s="14" t="s">
        <v>547</v>
      </c>
      <c r="C295" s="15" t="s">
        <v>550</v>
      </c>
      <c r="D295" s="73">
        <f>5994000+1600000</f>
        <v>7594000</v>
      </c>
      <c r="E295" s="74" t="s">
        <v>296</v>
      </c>
      <c r="F295" s="17" t="s">
        <v>546</v>
      </c>
      <c r="G295" s="18">
        <v>2024</v>
      </c>
      <c r="H295" s="135">
        <f>D295/IF(E295="S",_xlfn.XLOOKUP($G295,Tables_for_Reference!$J$15:$J$21,Tables_for_Reference!$I$15:$I$21),IF(ESG!$E295="W",_xlfn.XLOOKUP(ESG!$G295,Tables_for_Reference!$J$15:$J$21,Tables_for_Reference!$H$15:$H$21),"Error"))</f>
        <v>1007.9560176704234</v>
      </c>
      <c r="I295" s="135">
        <f>$D295/IF($E295="S",_xlfn.XLOOKUP($G295,Tables_for_Reference!$J$24:$J$29,Tables_for_Reference!$I$24:$I$29),IF(ESG!E295="W",_xlfn.XLOOKUP(ESG!G295,Tables_for_Reference!$J$24:$J$29,Tables_for_Reference!$H$24:$H$29),"Error"))</f>
        <v>536.29596514466255</v>
      </c>
    </row>
    <row r="296" spans="1:9" x14ac:dyDescent="0.2">
      <c r="A296" s="134" t="s">
        <v>62</v>
      </c>
      <c r="B296" s="14" t="s">
        <v>547</v>
      </c>
      <c r="C296" s="15" t="s">
        <v>551</v>
      </c>
      <c r="D296" s="73">
        <v>7324000</v>
      </c>
      <c r="E296" s="74" t="s">
        <v>296</v>
      </c>
      <c r="F296" s="17" t="s">
        <v>546</v>
      </c>
      <c r="G296" s="18">
        <v>2024</v>
      </c>
      <c r="H296" s="135">
        <f>D296/IF(E296="S",_xlfn.XLOOKUP($G296,Tables_for_Reference!$J$15:$J$21,Tables_for_Reference!$I$15:$I$21),IF(ESG!$E296="W",_xlfn.XLOOKUP(ESG!$G296,Tables_for_Reference!$J$15:$J$21,Tables_for_Reference!$H$15:$H$21),"Error"))</f>
        <v>972.11876131395593</v>
      </c>
      <c r="I296" s="135">
        <f>$D296/IF($E296="S",_xlfn.XLOOKUP($G296,Tables_for_Reference!$J$24:$J$29,Tables_for_Reference!$I$24:$I$29),IF(ESG!E296="W",_xlfn.XLOOKUP(ESG!G296,Tables_for_Reference!$J$24:$J$29,Tables_for_Reference!$H$24:$H$29),"Error"))</f>
        <v>517.22829190407015</v>
      </c>
    </row>
    <row r="297" spans="1:9" x14ac:dyDescent="0.2">
      <c r="A297" s="134" t="s">
        <v>62</v>
      </c>
      <c r="B297" s="14" t="s">
        <v>547</v>
      </c>
      <c r="C297" s="15" t="s">
        <v>545</v>
      </c>
      <c r="D297" s="73">
        <v>14918000</v>
      </c>
      <c r="E297" s="74" t="s">
        <v>296</v>
      </c>
      <c r="F297" s="17" t="s">
        <v>546</v>
      </c>
      <c r="G297" s="18">
        <v>2024</v>
      </c>
      <c r="H297" s="135">
        <f>D297/IF(E297="S",_xlfn.XLOOKUP($G297,Tables_for_Reference!$J$15:$J$21,Tables_for_Reference!$I$15:$I$21),IF(ESG!$E297="W",_xlfn.XLOOKUP(ESG!$G297,Tables_for_Reference!$J$15:$J$21,Tables_for_Reference!$H$15:$H$21),"Error"))</f>
        <v>1980.0747789843795</v>
      </c>
      <c r="I297" s="135">
        <f>$D297/IF($E297="S",_xlfn.XLOOKUP($G297,Tables_for_Reference!$J$24:$J$29,Tables_for_Reference!$I$24:$I$29),IF(ESG!E297="W",_xlfn.XLOOKUP(ESG!G297,Tables_for_Reference!$J$24:$J$29,Tables_for_Reference!$H$24:$H$29),"Error"))</f>
        <v>1053.5242570487326</v>
      </c>
    </row>
    <row r="298" spans="1:9" x14ac:dyDescent="0.2">
      <c r="A298" s="134" t="s">
        <v>62</v>
      </c>
      <c r="B298" s="14" t="s">
        <v>314</v>
      </c>
      <c r="C298" s="130" t="s">
        <v>315</v>
      </c>
      <c r="D298" s="128">
        <v>31179</v>
      </c>
      <c r="E298" s="84" t="s">
        <v>525</v>
      </c>
      <c r="F298" s="24" t="s">
        <v>316</v>
      </c>
      <c r="G298" s="18">
        <v>2025</v>
      </c>
      <c r="H298" s="135" t="e">
        <f>D298/IF(E298="S",_xlfn.XLOOKUP($G298,Tables_for_Reference!$J$15:$J$21,Tables_for_Reference!$I$15:$I$21),IF(ESG!$E298="W",_xlfn.XLOOKUP(ESG!$G298,Tables_for_Reference!$J$15:$J$21,Tables_for_Reference!$H$15:$H$21),"Error"))</f>
        <v>#VALUE!</v>
      </c>
      <c r="I298" s="135" t="e">
        <f>$D298/IF($E298="S",_xlfn.XLOOKUP($G298,Tables_for_Reference!$J$24:$J$29,Tables_for_Reference!$I$24:$I$29),IF(ESG!E298="W",_xlfn.XLOOKUP(ESG!G298,Tables_for_Reference!$J$24:$J$29,Tables_for_Reference!$H$24:$H$29),"Error"))</f>
        <v>#VALUE!</v>
      </c>
    </row>
    <row r="299" spans="1:9" x14ac:dyDescent="0.2">
      <c r="A299" s="134" t="s">
        <v>62</v>
      </c>
      <c r="B299" s="14" t="s">
        <v>314</v>
      </c>
      <c r="C299" s="130" t="s">
        <v>315</v>
      </c>
      <c r="D299" s="128">
        <v>21109</v>
      </c>
      <c r="E299" s="84" t="s">
        <v>525</v>
      </c>
      <c r="F299" s="24" t="s">
        <v>316</v>
      </c>
      <c r="G299" s="18">
        <v>2024</v>
      </c>
      <c r="H299" s="135" t="e">
        <f>D299/IF(E299="S",_xlfn.XLOOKUP($G299,Tables_for_Reference!$J$15:$J$21,Tables_for_Reference!$I$15:$I$21),IF(ESG!$E299="W",_xlfn.XLOOKUP(ESG!$G299,Tables_for_Reference!$J$15:$J$21,Tables_for_Reference!$H$15:$H$21),"Error"))</f>
        <v>#VALUE!</v>
      </c>
      <c r="I299" s="135" t="e">
        <f>$D299/IF($E299="S",_xlfn.XLOOKUP($G299,Tables_for_Reference!$J$24:$J$29,Tables_for_Reference!$I$24:$I$29),IF(ESG!E299="W",_xlfn.XLOOKUP(ESG!G299,Tables_for_Reference!$J$24:$J$29,Tables_for_Reference!$H$24:$H$29),"Error"))</f>
        <v>#VALUE!</v>
      </c>
    </row>
    <row r="300" spans="1:9" x14ac:dyDescent="0.2">
      <c r="A300" s="134" t="s">
        <v>62</v>
      </c>
      <c r="B300" s="14" t="s">
        <v>314</v>
      </c>
      <c r="C300" s="130" t="s">
        <v>315</v>
      </c>
      <c r="D300" s="128">
        <v>20310</v>
      </c>
      <c r="E300" s="84" t="s">
        <v>526</v>
      </c>
      <c r="F300" s="24" t="s">
        <v>316</v>
      </c>
      <c r="G300" s="18">
        <v>2023</v>
      </c>
      <c r="H300" s="135">
        <f>D300/IF(E300="S",_xlfn.XLOOKUP($G300,Tables_for_Reference!$J$15:$J$21,Tables_for_Reference!$I$15:$I$21),IF(ESG!$E300="W",_xlfn.XLOOKUP(ESG!$G300,Tables_for_Reference!$J$15:$J$21,Tables_for_Reference!$H$15:$H$21),"Error"))</f>
        <v>1</v>
      </c>
      <c r="I300" s="135">
        <f>$D300/IF($E300="S",_xlfn.XLOOKUP($G300,Tables_for_Reference!$J$24:$J$29,Tables_for_Reference!$I$24:$I$29),IF(ESG!E300="W",_xlfn.XLOOKUP(ESG!G300,Tables_for_Reference!$J$24:$J$29,Tables_for_Reference!$H$24:$H$29),"Error"))</f>
        <v>2.2126352256757196</v>
      </c>
    </row>
    <row r="301" spans="1:9" x14ac:dyDescent="0.2">
      <c r="A301" s="134" t="s">
        <v>62</v>
      </c>
      <c r="B301" s="14" t="s">
        <v>314</v>
      </c>
      <c r="C301" s="130" t="s">
        <v>315</v>
      </c>
      <c r="D301" s="128">
        <v>11272</v>
      </c>
      <c r="E301" s="84" t="s">
        <v>296</v>
      </c>
      <c r="F301" s="24" t="s">
        <v>316</v>
      </c>
      <c r="G301" s="18">
        <v>2023</v>
      </c>
      <c r="H301" s="135">
        <f>D301/IF(E301="S",_xlfn.XLOOKUP($G301,Tables_for_Reference!$J$15:$J$21,Tables_for_Reference!$I$15:$I$21),IF(ESG!$E301="W",_xlfn.XLOOKUP(ESG!$G301,Tables_for_Reference!$J$15:$J$21,Tables_for_Reference!$H$15:$H$21),"Error"))</f>
        <v>1</v>
      </c>
      <c r="I301" s="135">
        <f>$D301/IF($E301="S",_xlfn.XLOOKUP($G301,Tables_for_Reference!$J$24:$J$29,Tables_for_Reference!$I$24:$I$29),IF(ESG!E301="W",_xlfn.XLOOKUP(ESG!G301,Tables_for_Reference!$J$24:$J$29,Tables_for_Reference!$H$24:$H$29),"Error"))</f>
        <v>1.2029369077093828</v>
      </c>
    </row>
    <row r="302" spans="1:9" x14ac:dyDescent="0.2">
      <c r="A302" s="134" t="s">
        <v>62</v>
      </c>
      <c r="B302" s="14" t="s">
        <v>314</v>
      </c>
      <c r="C302" s="130" t="s">
        <v>315</v>
      </c>
      <c r="D302" s="128">
        <v>21256.5</v>
      </c>
      <c r="E302" s="84" t="s">
        <v>526</v>
      </c>
      <c r="F302" s="24" t="s">
        <v>316</v>
      </c>
      <c r="G302" s="18">
        <v>2022</v>
      </c>
      <c r="H302" s="135">
        <f>D302/IF(E302="S",_xlfn.XLOOKUP($G302,Tables_for_Reference!$J$15:$J$21,Tables_for_Reference!$I$15:$I$21),IF(ESG!$E302="W",_xlfn.XLOOKUP(ESG!$G302,Tables_for_Reference!$J$15:$J$21,Tables_for_Reference!$H$15:$H$21),"Error"))</f>
        <v>1</v>
      </c>
      <c r="I302" s="135">
        <f>$D302/IF($E302="S",_xlfn.XLOOKUP($G302,Tables_for_Reference!$J$24:$J$29,Tables_for_Reference!$I$24:$I$29),IF(ESG!E302="W",_xlfn.XLOOKUP(ESG!G302,Tables_for_Reference!$J$24:$J$29,Tables_for_Reference!$H$24:$H$29),"Error"))</f>
        <v>2.704939936882826</v>
      </c>
    </row>
    <row r="303" spans="1:9" x14ac:dyDescent="0.2">
      <c r="A303" s="134" t="s">
        <v>62</v>
      </c>
      <c r="B303" s="14" t="s">
        <v>314</v>
      </c>
      <c r="C303" s="130" t="s">
        <v>315</v>
      </c>
      <c r="D303" s="128">
        <v>12815</v>
      </c>
      <c r="E303" s="84" t="s">
        <v>296</v>
      </c>
      <c r="F303" s="24" t="s">
        <v>316</v>
      </c>
      <c r="G303" s="18">
        <v>2022</v>
      </c>
      <c r="H303" s="135">
        <f>D303/IF(E303="S",_xlfn.XLOOKUP($G303,Tables_for_Reference!$J$15:$J$21,Tables_for_Reference!$I$15:$I$21),IF(ESG!$E303="W",_xlfn.XLOOKUP(ESG!$G303,Tables_for_Reference!$J$15:$J$21,Tables_for_Reference!$H$15:$H$21),"Error"))</f>
        <v>1</v>
      </c>
      <c r="I303" s="135">
        <f>$D303/IF($E303="S",_xlfn.XLOOKUP($G303,Tables_for_Reference!$J$24:$J$29,Tables_for_Reference!$I$24:$I$29),IF(ESG!E303="W",_xlfn.XLOOKUP(ESG!G303,Tables_for_Reference!$J$24:$J$29,Tables_for_Reference!$H$24:$H$29),"Error"))</f>
        <v>1.4262659988870339</v>
      </c>
    </row>
    <row r="304" spans="1:9" x14ac:dyDescent="0.2">
      <c r="A304" s="134" t="s">
        <v>62</v>
      </c>
      <c r="B304" s="14" t="s">
        <v>314</v>
      </c>
      <c r="C304" s="130" t="s">
        <v>315</v>
      </c>
      <c r="D304" s="128">
        <v>18746.099999999999</v>
      </c>
      <c r="E304" s="84" t="s">
        <v>526</v>
      </c>
      <c r="F304" s="24" t="s">
        <v>316</v>
      </c>
      <c r="G304" s="18">
        <v>2021</v>
      </c>
      <c r="H304" s="135">
        <f>D304/IF(E304="S",_xlfn.XLOOKUP($G304,Tables_for_Reference!$J$15:$J$21,Tables_for_Reference!$I$15:$I$21),IF(ESG!$E304="W",_xlfn.XLOOKUP(ESG!$G304,Tables_for_Reference!$J$15:$J$21,Tables_for_Reference!$H$15:$H$21),"Error"))</f>
        <v>1</v>
      </c>
      <c r="I304" s="135">
        <f>$D304/IF($E304="S",_xlfn.XLOOKUP($G304,Tables_for_Reference!$J$24:$J$29,Tables_for_Reference!$I$24:$I$29),IF(ESG!E304="W",_xlfn.XLOOKUP(ESG!G304,Tables_for_Reference!$J$24:$J$29,Tables_for_Reference!$H$24:$H$29),"Error"))</f>
        <v>1.4196213555471411</v>
      </c>
    </row>
    <row r="305" spans="1:9" x14ac:dyDescent="0.2">
      <c r="A305" s="134" t="s">
        <v>62</v>
      </c>
      <c r="B305" s="14" t="s">
        <v>314</v>
      </c>
      <c r="C305" s="130" t="s">
        <v>315</v>
      </c>
      <c r="D305" s="128">
        <v>10107</v>
      </c>
      <c r="E305" s="84" t="s">
        <v>296</v>
      </c>
      <c r="F305" s="24" t="s">
        <v>316</v>
      </c>
      <c r="G305" s="18">
        <v>2021</v>
      </c>
      <c r="H305" s="135">
        <f>D305/IF(E305="S",_xlfn.XLOOKUP($G305,Tables_for_Reference!$J$15:$J$21,Tables_for_Reference!$I$15:$I$21),IF(ESG!$E305="W",_xlfn.XLOOKUP(ESG!$G305,Tables_for_Reference!$J$15:$J$21,Tables_for_Reference!$H$15:$H$21),"Error"))</f>
        <v>1</v>
      </c>
      <c r="I305" s="135">
        <f>$D305/IF($E305="S",_xlfn.XLOOKUP($G305,Tables_for_Reference!$J$24:$J$29,Tables_for_Reference!$I$24:$I$29),IF(ESG!E305="W",_xlfn.XLOOKUP(ESG!G305,Tables_for_Reference!$J$24:$J$29,Tables_for_Reference!$H$24:$H$29),"Error"))</f>
        <v>0.80904542725635387</v>
      </c>
    </row>
    <row r="306" spans="1:9" x14ac:dyDescent="0.2">
      <c r="A306" s="134" t="s">
        <v>62</v>
      </c>
      <c r="B306" s="14" t="s">
        <v>314</v>
      </c>
      <c r="C306" s="130" t="s">
        <v>315</v>
      </c>
      <c r="D306" s="128">
        <v>17578.8</v>
      </c>
      <c r="E306" s="84" t="s">
        <v>526</v>
      </c>
      <c r="F306" s="24" t="s">
        <v>316</v>
      </c>
      <c r="G306" s="18">
        <v>2020</v>
      </c>
      <c r="H306" s="135">
        <f>D306/IF(E306="S",_xlfn.XLOOKUP($G306,Tables_for_Reference!$J$15:$J$21,Tables_for_Reference!$I$15:$I$21),IF(ESG!$E306="W",_xlfn.XLOOKUP(ESG!$G306,Tables_for_Reference!$J$15:$J$21,Tables_for_Reference!$H$15:$H$21),"Error"))</f>
        <v>1</v>
      </c>
      <c r="I306" s="135">
        <f>$D306/IF($E306="S",_xlfn.XLOOKUP($G306,Tables_for_Reference!$J$24:$J$29,Tables_for_Reference!$I$24:$I$29),IF(ESG!E306="W",_xlfn.XLOOKUP(ESG!G306,Tables_for_Reference!$J$24:$J$29,Tables_for_Reference!$H$24:$H$29),"Error"))</f>
        <v>1.9432032985861625</v>
      </c>
    </row>
    <row r="307" spans="1:9" x14ac:dyDescent="0.2">
      <c r="A307" s="134" t="s">
        <v>62</v>
      </c>
      <c r="B307" s="14" t="s">
        <v>314</v>
      </c>
      <c r="C307" s="130" t="s">
        <v>315</v>
      </c>
      <c r="D307" s="128">
        <v>8530</v>
      </c>
      <c r="E307" s="84" t="s">
        <v>296</v>
      </c>
      <c r="F307" s="24" t="s">
        <v>316</v>
      </c>
      <c r="G307" s="18">
        <v>2020</v>
      </c>
      <c r="H307" s="135">
        <f>D307/IF(E307="S",_xlfn.XLOOKUP($G307,Tables_for_Reference!$J$15:$J$21,Tables_for_Reference!$I$15:$I$21),IF(ESG!$E307="W",_xlfn.XLOOKUP(ESG!$G307,Tables_for_Reference!$J$15:$J$21,Tables_for_Reference!$H$15:$H$21),"Error"))</f>
        <v>1</v>
      </c>
      <c r="I307" s="135">
        <f>$D307/IF($E307="S",_xlfn.XLOOKUP($G307,Tables_for_Reference!$J$24:$J$29,Tables_for_Reference!$I$24:$I$29),IF(ESG!E307="W",_xlfn.XLOOKUP(ESG!G307,Tables_for_Reference!$J$24:$J$29,Tables_for_Reference!$H$24:$H$29),"Error"))</f>
        <v>0.86177284758845041</v>
      </c>
    </row>
    <row r="308" spans="1:9" x14ac:dyDescent="0.2">
      <c r="A308" s="134" t="s">
        <v>62</v>
      </c>
      <c r="B308" s="14" t="s">
        <v>314</v>
      </c>
      <c r="C308" s="130" t="s">
        <v>315</v>
      </c>
      <c r="D308" s="128">
        <v>18289</v>
      </c>
      <c r="E308" s="84" t="s">
        <v>526</v>
      </c>
      <c r="F308" s="24" t="s">
        <v>316</v>
      </c>
      <c r="G308" s="18">
        <v>2019</v>
      </c>
      <c r="H308" s="135">
        <f>D308/IF(E308="S",_xlfn.XLOOKUP($G308,Tables_for_Reference!$J$15:$J$21,Tables_for_Reference!$I$15:$I$21),IF(ESG!$E308="W",_xlfn.XLOOKUP(ESG!$G308,Tables_for_Reference!$J$15:$J$21,Tables_for_Reference!$H$15:$H$21),"Error"))</f>
        <v>1</v>
      </c>
      <c r="I308" s="135">
        <f>$D308/IF($E308="S",_xlfn.XLOOKUP($G308,Tables_for_Reference!$J$24:$J$29,Tables_for_Reference!$I$24:$I$29),IF(ESG!E308="W",_xlfn.XLOOKUP(ESG!G308,Tables_for_Reference!$J$24:$J$29,Tables_for_Reference!$H$24:$H$29),"Error"))</f>
        <v>1.9463008683807255</v>
      </c>
    </row>
    <row r="309" spans="1:9" x14ac:dyDescent="0.2">
      <c r="A309" s="134" t="s">
        <v>62</v>
      </c>
      <c r="B309" s="14" t="s">
        <v>314</v>
      </c>
      <c r="C309" s="130" t="s">
        <v>315</v>
      </c>
      <c r="D309" s="128">
        <v>9048</v>
      </c>
      <c r="E309" s="84" t="s">
        <v>296</v>
      </c>
      <c r="F309" s="24" t="s">
        <v>316</v>
      </c>
      <c r="G309" s="18">
        <v>2019</v>
      </c>
      <c r="H309" s="135">
        <f>D309/IF(E309="S",_xlfn.XLOOKUP($G309,Tables_for_Reference!$J$15:$J$21,Tables_for_Reference!$I$15:$I$21),IF(ESG!$E309="W",_xlfn.XLOOKUP(ESG!$G309,Tables_for_Reference!$J$15:$J$21,Tables_for_Reference!$H$15:$H$21),"Error"))</f>
        <v>1</v>
      </c>
      <c r="I309" s="135">
        <f>$D309/IF($E309="S",_xlfn.XLOOKUP($G309,Tables_for_Reference!$J$24:$J$29,Tables_for_Reference!$I$24:$I$29),IF(ESG!E309="W",_xlfn.XLOOKUP(ESG!G309,Tables_for_Reference!$J$24:$J$29,Tables_for_Reference!$H$24:$H$29),"Error"))</f>
        <v>1.1027959924920165</v>
      </c>
    </row>
    <row r="310" spans="1:9" x14ac:dyDescent="0.2">
      <c r="A310" s="134" t="s">
        <v>62</v>
      </c>
      <c r="B310" s="14" t="s">
        <v>314</v>
      </c>
      <c r="C310" s="130" t="s">
        <v>559</v>
      </c>
      <c r="D310" s="128">
        <v>28031.1</v>
      </c>
      <c r="E310" s="84" t="s">
        <v>525</v>
      </c>
      <c r="F310" s="24" t="s">
        <v>316</v>
      </c>
      <c r="G310" s="18">
        <v>2024</v>
      </c>
      <c r="H310" s="135" t="e">
        <f>D310/IF(E310="S",_xlfn.XLOOKUP($G310,Tables_for_Reference!$J$15:$J$21,Tables_for_Reference!$I$15:$I$21),IF(ESG!$E310="W",_xlfn.XLOOKUP(ESG!$G310,Tables_for_Reference!$J$15:$J$21,Tables_for_Reference!$H$15:$H$21),"Error"))</f>
        <v>#VALUE!</v>
      </c>
      <c r="I310" s="135" t="e">
        <f>$D310/IF($E310="S",_xlfn.XLOOKUP($G310,Tables_for_Reference!$J$24:$J$29,Tables_for_Reference!$I$24:$I$29),IF(ESG!E310="W",_xlfn.XLOOKUP(ESG!G310,Tables_for_Reference!$J$24:$J$29,Tables_for_Reference!$H$24:$H$29),"Error"))</f>
        <v>#VALUE!</v>
      </c>
    </row>
    <row r="311" spans="1:9" x14ac:dyDescent="0.2">
      <c r="A311" s="134" t="s">
        <v>62</v>
      </c>
      <c r="B311" s="14" t="s">
        <v>314</v>
      </c>
      <c r="C311" s="130" t="s">
        <v>559</v>
      </c>
      <c r="D311" s="128">
        <v>9179.1</v>
      </c>
      <c r="E311" s="84" t="s">
        <v>526</v>
      </c>
      <c r="F311" s="24" t="s">
        <v>316</v>
      </c>
      <c r="G311" s="18">
        <v>2023</v>
      </c>
      <c r="H311" s="135">
        <f>D311/IF(E311="S",_xlfn.XLOOKUP($G311,Tables_for_Reference!$J$15:$J$21,Tables_for_Reference!$I$15:$I$21),IF(ESG!$E311="W",_xlfn.XLOOKUP(ESG!$G311,Tables_for_Reference!$J$15:$J$21,Tables_for_Reference!$H$15:$H$21),"Error"))</f>
        <v>0.45194977843426887</v>
      </c>
      <c r="I311" s="135">
        <f>$D311/IF($E311="S",_xlfn.XLOOKUP($G311,Tables_for_Reference!$J$24:$J$29,Tables_for_Reference!$I$24:$I$29),IF(ESG!E311="W",_xlfn.XLOOKUP(ESG!G311,Tables_for_Reference!$J$24:$J$29,Tables_for_Reference!$H$24:$H$29),"Error"))</f>
        <v>1</v>
      </c>
    </row>
    <row r="312" spans="1:9" x14ac:dyDescent="0.2">
      <c r="A312" s="134" t="s">
        <v>62</v>
      </c>
      <c r="B312" s="14" t="s">
        <v>314</v>
      </c>
      <c r="C312" s="130" t="s">
        <v>559</v>
      </c>
      <c r="D312" s="128">
        <v>9370.4</v>
      </c>
      <c r="E312" s="84" t="s">
        <v>296</v>
      </c>
      <c r="F312" s="24" t="s">
        <v>316</v>
      </c>
      <c r="G312" s="18">
        <v>2023</v>
      </c>
      <c r="H312" s="135">
        <f>D312/IF(E312="S",_xlfn.XLOOKUP($G312,Tables_for_Reference!$J$15:$J$21,Tables_for_Reference!$I$15:$I$21),IF(ESG!$E312="W",_xlfn.XLOOKUP(ESG!$G312,Tables_for_Reference!$J$15:$J$21,Tables_for_Reference!$H$15:$H$21),"Error"))</f>
        <v>0.83129879347054647</v>
      </c>
      <c r="I312" s="135">
        <f>$D312/IF($E312="S",_xlfn.XLOOKUP($G312,Tables_for_Reference!$J$24:$J$29,Tables_for_Reference!$I$24:$I$29),IF(ESG!E312="W",_xlfn.XLOOKUP(ESG!G312,Tables_for_Reference!$J$24:$J$29,Tables_for_Reference!$H$24:$H$29),"Error"))</f>
        <v>1</v>
      </c>
    </row>
    <row r="313" spans="1:9" x14ac:dyDescent="0.2">
      <c r="A313" s="134" t="s">
        <v>62</v>
      </c>
      <c r="B313" s="14" t="s">
        <v>314</v>
      </c>
      <c r="C313" s="130" t="s">
        <v>559</v>
      </c>
      <c r="D313" s="128">
        <v>7858.4</v>
      </c>
      <c r="E313" s="84" t="s">
        <v>526</v>
      </c>
      <c r="F313" s="24" t="s">
        <v>316</v>
      </c>
      <c r="G313" s="18">
        <v>2022</v>
      </c>
      <c r="H313" s="135">
        <f>D313/IF(E313="S",_xlfn.XLOOKUP($G313,Tables_for_Reference!$J$15:$J$21,Tables_for_Reference!$I$15:$I$21),IF(ESG!$E313="W",_xlfn.XLOOKUP(ESG!$G313,Tables_for_Reference!$J$15:$J$21,Tables_for_Reference!$H$15:$H$21),"Error"))</f>
        <v>0.36969397596029446</v>
      </c>
      <c r="I313" s="135">
        <f>$D313/IF($E313="S",_xlfn.XLOOKUP($G313,Tables_for_Reference!$J$24:$J$29,Tables_for_Reference!$I$24:$I$29),IF(ESG!E313="W",_xlfn.XLOOKUP(ESG!G313,Tables_for_Reference!$J$24:$J$29,Tables_for_Reference!$H$24:$H$29),"Error"))</f>
        <v>1</v>
      </c>
    </row>
    <row r="314" spans="1:9" x14ac:dyDescent="0.2">
      <c r="A314" s="134" t="s">
        <v>62</v>
      </c>
      <c r="B314" s="14" t="s">
        <v>314</v>
      </c>
      <c r="C314" s="130" t="s">
        <v>559</v>
      </c>
      <c r="D314" s="128">
        <v>8985</v>
      </c>
      <c r="E314" s="84" t="s">
        <v>296</v>
      </c>
      <c r="F314" s="24" t="s">
        <v>316</v>
      </c>
      <c r="G314" s="18">
        <v>2022</v>
      </c>
      <c r="H314" s="135">
        <f>D314/IF(E314="S",_xlfn.XLOOKUP($G314,Tables_for_Reference!$J$15:$J$21,Tables_for_Reference!$I$15:$I$21),IF(ESG!$E314="W",_xlfn.XLOOKUP(ESG!$G314,Tables_for_Reference!$J$15:$J$21,Tables_for_Reference!$H$15:$H$21),"Error"))</f>
        <v>0.70113148653921187</v>
      </c>
      <c r="I314" s="135">
        <f>$D314/IF($E314="S",_xlfn.XLOOKUP($G314,Tables_for_Reference!$J$24:$J$29,Tables_for_Reference!$I$24:$I$29),IF(ESG!E314="W",_xlfn.XLOOKUP(ESG!G314,Tables_for_Reference!$J$24:$J$29,Tables_for_Reference!$H$24:$H$29),"Error"))</f>
        <v>1</v>
      </c>
    </row>
    <row r="315" spans="1:9" x14ac:dyDescent="0.2">
      <c r="A315" s="134" t="s">
        <v>62</v>
      </c>
      <c r="B315" s="14" t="s">
        <v>314</v>
      </c>
      <c r="C315" s="130" t="s">
        <v>559</v>
      </c>
      <c r="D315" s="128">
        <v>13205</v>
      </c>
      <c r="E315" s="84" t="s">
        <v>526</v>
      </c>
      <c r="F315" s="24" t="s">
        <v>316</v>
      </c>
      <c r="G315" s="18">
        <v>2021</v>
      </c>
      <c r="H315" s="135">
        <f>D315/IF(E315="S",_xlfn.XLOOKUP($G315,Tables_for_Reference!$J$15:$J$21,Tables_for_Reference!$I$15:$I$21),IF(ESG!$E315="W",_xlfn.XLOOKUP(ESG!$G315,Tables_for_Reference!$J$15:$J$21,Tables_for_Reference!$H$15:$H$21),"Error"))</f>
        <v>0.70441318460906543</v>
      </c>
      <c r="I315" s="135">
        <f>$D315/IF($E315="S",_xlfn.XLOOKUP($G315,Tables_for_Reference!$J$24:$J$29,Tables_for_Reference!$I$24:$I$29),IF(ESG!E315="W",_xlfn.XLOOKUP(ESG!G315,Tables_for_Reference!$J$24:$J$29,Tables_for_Reference!$H$24:$H$29),"Error"))</f>
        <v>1</v>
      </c>
    </row>
    <row r="316" spans="1:9" x14ac:dyDescent="0.2">
      <c r="A316" s="134" t="s">
        <v>62</v>
      </c>
      <c r="B316" s="14" t="s">
        <v>314</v>
      </c>
      <c r="C316" s="130" t="s">
        <v>559</v>
      </c>
      <c r="D316" s="128">
        <v>12492.5</v>
      </c>
      <c r="E316" s="84" t="s">
        <v>296</v>
      </c>
      <c r="F316" s="24" t="s">
        <v>316</v>
      </c>
      <c r="G316" s="18">
        <v>2021</v>
      </c>
      <c r="H316" s="135">
        <f>D316/IF(E316="S",_xlfn.XLOOKUP($G316,Tables_for_Reference!$J$15:$J$21,Tables_for_Reference!$I$15:$I$21),IF(ESG!$E316="W",_xlfn.XLOOKUP(ESG!$G316,Tables_for_Reference!$J$15:$J$21,Tables_for_Reference!$H$15:$H$21),"Error"))</f>
        <v>1.2360245374492926</v>
      </c>
      <c r="I316" s="135">
        <f>$D316/IF($E316="S",_xlfn.XLOOKUP($G316,Tables_for_Reference!$J$24:$J$29,Tables_for_Reference!$I$24:$I$29),IF(ESG!E316="W",_xlfn.XLOOKUP(ESG!G316,Tables_for_Reference!$J$24:$J$29,Tables_for_Reference!$H$24:$H$29),"Error"))</f>
        <v>1</v>
      </c>
    </row>
    <row r="317" spans="1:9" x14ac:dyDescent="0.2">
      <c r="A317" s="134" t="s">
        <v>62</v>
      </c>
      <c r="B317" s="14" t="s">
        <v>314</v>
      </c>
      <c r="C317" s="130" t="s">
        <v>559</v>
      </c>
      <c r="D317" s="128">
        <v>9046.2999999999993</v>
      </c>
      <c r="E317" s="84" t="s">
        <v>526</v>
      </c>
      <c r="F317" s="24" t="s">
        <v>316</v>
      </c>
      <c r="G317" s="18">
        <v>2020</v>
      </c>
      <c r="H317" s="135">
        <f>D317/IF(E317="S",_xlfn.XLOOKUP($G317,Tables_for_Reference!$J$15:$J$21,Tables_for_Reference!$I$15:$I$21),IF(ESG!$E317="W",_xlfn.XLOOKUP(ESG!$G317,Tables_for_Reference!$J$15:$J$21,Tables_for_Reference!$H$15:$H$21),"Error"))</f>
        <v>0.51461419437049172</v>
      </c>
      <c r="I317" s="135">
        <f>$D317/IF($E317="S",_xlfn.XLOOKUP($G317,Tables_for_Reference!$J$24:$J$29,Tables_for_Reference!$I$24:$I$29),IF(ESG!E317="W",_xlfn.XLOOKUP(ESG!G317,Tables_for_Reference!$J$24:$J$29,Tables_for_Reference!$H$24:$H$29),"Error"))</f>
        <v>1</v>
      </c>
    </row>
    <row r="318" spans="1:9" x14ac:dyDescent="0.2">
      <c r="A318" s="134" t="s">
        <v>62</v>
      </c>
      <c r="B318" s="14" t="s">
        <v>314</v>
      </c>
      <c r="C318" s="130" t="s">
        <v>559</v>
      </c>
      <c r="D318" s="128">
        <v>9898.2000000000007</v>
      </c>
      <c r="E318" s="84" t="s">
        <v>296</v>
      </c>
      <c r="F318" s="24" t="s">
        <v>316</v>
      </c>
      <c r="G318" s="18">
        <v>2020</v>
      </c>
      <c r="H318" s="135">
        <f>D318/IF(E318="S",_xlfn.XLOOKUP($G318,Tables_for_Reference!$J$15:$J$21,Tables_for_Reference!$I$15:$I$21),IF(ESG!$E318="W",_xlfn.XLOOKUP(ESG!$G318,Tables_for_Reference!$J$15:$J$21,Tables_for_Reference!$H$15:$H$21),"Error"))</f>
        <v>1.160398593200469</v>
      </c>
      <c r="I318" s="135">
        <f>$D318/IF($E318="S",_xlfn.XLOOKUP($G318,Tables_for_Reference!$J$24:$J$29,Tables_for_Reference!$I$24:$I$29),IF(ESG!E318="W",_xlfn.XLOOKUP(ESG!G318,Tables_for_Reference!$J$24:$J$29,Tables_for_Reference!$H$24:$H$29),"Error"))</f>
        <v>1</v>
      </c>
    </row>
    <row r="319" spans="1:9" x14ac:dyDescent="0.2">
      <c r="A319" s="134" t="s">
        <v>62</v>
      </c>
      <c r="B319" s="14" t="s">
        <v>314</v>
      </c>
      <c r="C319" s="130" t="s">
        <v>559</v>
      </c>
      <c r="D319" s="128">
        <v>9396.7999999999993</v>
      </c>
      <c r="E319" s="84" t="s">
        <v>526</v>
      </c>
      <c r="F319" s="24" t="s">
        <v>316</v>
      </c>
      <c r="G319" s="18">
        <v>2019</v>
      </c>
      <c r="H319" s="135">
        <f>D319/IF(E319="S",_xlfn.XLOOKUP($G319,Tables_for_Reference!$J$15:$J$21,Tables_for_Reference!$I$15:$I$21),IF(ESG!$E319="W",_xlfn.XLOOKUP(ESG!$G319,Tables_for_Reference!$J$15:$J$21,Tables_for_Reference!$H$15:$H$21),"Error"))</f>
        <v>0.51379517742905567</v>
      </c>
      <c r="I319" s="135">
        <f>$D319/IF($E319="S",_xlfn.XLOOKUP($G319,Tables_for_Reference!$J$24:$J$29,Tables_for_Reference!$I$24:$I$29),IF(ESG!E319="W",_xlfn.XLOOKUP(ESG!G319,Tables_for_Reference!$J$24:$J$29,Tables_for_Reference!$H$24:$H$29),"Error"))</f>
        <v>1</v>
      </c>
    </row>
    <row r="320" spans="1:9" x14ac:dyDescent="0.2">
      <c r="A320" s="134" t="s">
        <v>62</v>
      </c>
      <c r="B320" s="14" t="s">
        <v>314</v>
      </c>
      <c r="C320" s="130" t="s">
        <v>559</v>
      </c>
      <c r="D320" s="128">
        <v>8204.6</v>
      </c>
      <c r="E320" s="84" t="s">
        <v>296</v>
      </c>
      <c r="F320" s="24" t="s">
        <v>316</v>
      </c>
      <c r="G320" s="18">
        <v>2019</v>
      </c>
      <c r="H320" s="135">
        <f>D320/IF(E320="S",_xlfn.XLOOKUP($G320,Tables_for_Reference!$J$15:$J$21,Tables_for_Reference!$I$15:$I$21),IF(ESG!$E320="W",_xlfn.XLOOKUP(ESG!$G320,Tables_for_Reference!$J$15:$J$21,Tables_for_Reference!$H$15:$H$21),"Error"))</f>
        <v>0.90678603006189218</v>
      </c>
      <c r="I320" s="135">
        <f>$D320/IF($E320="S",_xlfn.XLOOKUP($G320,Tables_for_Reference!$J$24:$J$29,Tables_for_Reference!$I$24:$I$29),IF(ESG!E320="W",_xlfn.XLOOKUP(ESG!G320,Tables_for_Reference!$J$24:$J$29,Tables_for_Reference!$H$24:$H$29),"Error"))</f>
        <v>1</v>
      </c>
    </row>
    <row r="321" spans="1:9" x14ac:dyDescent="0.2">
      <c r="A321" s="134" t="s">
        <v>552</v>
      </c>
      <c r="B321" s="14" t="s">
        <v>314</v>
      </c>
      <c r="C321" s="130" t="s">
        <v>560</v>
      </c>
      <c r="D321" s="128">
        <v>1466</v>
      </c>
      <c r="E321" s="84" t="s">
        <v>525</v>
      </c>
      <c r="F321" s="24" t="s">
        <v>316</v>
      </c>
      <c r="G321" s="18">
        <v>2024</v>
      </c>
      <c r="H321" s="135" t="e">
        <f>D321/IF(E321="S",_xlfn.XLOOKUP($G321,Tables_for_Reference!$J$15:$J$21,Tables_for_Reference!$I$15:$I$21),IF(ESG!$E321="W",_xlfn.XLOOKUP(ESG!$G321,Tables_for_Reference!$J$15:$J$21,Tables_for_Reference!$H$15:$H$21),"Error"))</f>
        <v>#VALUE!</v>
      </c>
      <c r="I321" s="135" t="e">
        <f>$D321/IF($E321="S",_xlfn.XLOOKUP($G321,Tables_for_Reference!$J$24:$J$29,Tables_for_Reference!$I$24:$I$29),IF(ESG!E321="W",_xlfn.XLOOKUP(ESG!G321,Tables_for_Reference!$J$24:$J$29,Tables_for_Reference!$H$24:$H$29),"Error"))</f>
        <v>#VALUE!</v>
      </c>
    </row>
    <row r="322" spans="1:9" x14ac:dyDescent="0.2">
      <c r="A322" s="134" t="s">
        <v>552</v>
      </c>
      <c r="B322" s="14" t="s">
        <v>314</v>
      </c>
      <c r="C322" s="130" t="s">
        <v>560</v>
      </c>
      <c r="D322" s="128">
        <v>1442.1</v>
      </c>
      <c r="E322" s="84" t="s">
        <v>526</v>
      </c>
      <c r="F322" s="24" t="s">
        <v>316</v>
      </c>
      <c r="G322" s="18">
        <v>2023</v>
      </c>
      <c r="H322" s="135">
        <f>D322/IF(E322="S",_xlfn.XLOOKUP($G322,Tables_for_Reference!$J$15:$J$21,Tables_for_Reference!$I$15:$I$21),IF(ESG!$E322="W",_xlfn.XLOOKUP(ESG!$G322,Tables_for_Reference!$J$15:$J$21,Tables_for_Reference!$H$15:$H$21),"Error"))</f>
        <v>7.1004431314623334E-2</v>
      </c>
      <c r="I322" s="135">
        <f>$D322/IF($E322="S",_xlfn.XLOOKUP($G322,Tables_for_Reference!$J$24:$J$29,Tables_for_Reference!$I$24:$I$29),IF(ESG!E322="W",_xlfn.XLOOKUP(ESG!G322,Tables_for_Reference!$J$24:$J$29,Tables_for_Reference!$H$24:$H$29),"Error"))</f>
        <v>0.15710690590580775</v>
      </c>
    </row>
    <row r="323" spans="1:9" x14ac:dyDescent="0.2">
      <c r="A323" s="134" t="s">
        <v>552</v>
      </c>
      <c r="B323" s="14" t="s">
        <v>314</v>
      </c>
      <c r="C323" s="130" t="s">
        <v>560</v>
      </c>
      <c r="D323" s="128">
        <v>841</v>
      </c>
      <c r="E323" s="84" t="s">
        <v>296</v>
      </c>
      <c r="F323" s="24" t="s">
        <v>316</v>
      </c>
      <c r="G323" s="18">
        <v>2023</v>
      </c>
      <c r="H323" s="135">
        <f>D323/IF(E323="S",_xlfn.XLOOKUP($G323,Tables_for_Reference!$J$15:$J$21,Tables_for_Reference!$I$15:$I$21),IF(ESG!$E323="W",_xlfn.XLOOKUP(ESG!$G323,Tables_for_Reference!$J$15:$J$21,Tables_for_Reference!$H$15:$H$21),"Error"))</f>
        <v>7.4609652235628099E-2</v>
      </c>
      <c r="I323" s="135">
        <f>$D323/IF($E323="S",_xlfn.XLOOKUP($G323,Tables_for_Reference!$J$24:$J$29,Tables_for_Reference!$I$24:$I$29),IF(ESG!E323="W",_xlfn.XLOOKUP(ESG!G323,Tables_for_Reference!$J$24:$J$29,Tables_for_Reference!$H$24:$H$29),"Error"))</f>
        <v>8.9750704345598911E-2</v>
      </c>
    </row>
    <row r="324" spans="1:9" x14ac:dyDescent="0.2">
      <c r="A324" s="134" t="s">
        <v>552</v>
      </c>
      <c r="B324" s="14" t="s">
        <v>314</v>
      </c>
      <c r="C324" s="130" t="s">
        <v>560</v>
      </c>
      <c r="D324" s="128">
        <v>862.6</v>
      </c>
      <c r="E324" s="84" t="s">
        <v>526</v>
      </c>
      <c r="F324" s="24" t="s">
        <v>316</v>
      </c>
      <c r="G324" s="18">
        <v>2022</v>
      </c>
      <c r="H324" s="135">
        <f>D324/IF(E324="S",_xlfn.XLOOKUP($G324,Tables_for_Reference!$J$15:$J$21,Tables_for_Reference!$I$15:$I$21),IF(ESG!$E324="W",_xlfn.XLOOKUP(ESG!$G324,Tables_for_Reference!$J$15:$J$21,Tables_for_Reference!$H$15:$H$21),"Error"))</f>
        <v>4.058052830898784E-2</v>
      </c>
      <c r="I324" s="135">
        <f>$D324/IF($E324="S",_xlfn.XLOOKUP($G324,Tables_for_Reference!$J$24:$J$29,Tables_for_Reference!$I$24:$I$29),IF(ESG!E324="W",_xlfn.XLOOKUP(ESG!G324,Tables_for_Reference!$J$24:$J$29,Tables_for_Reference!$H$24:$H$29),"Error"))</f>
        <v>0.10976789168278531</v>
      </c>
    </row>
    <row r="325" spans="1:9" x14ac:dyDescent="0.2">
      <c r="A325" s="134" t="s">
        <v>552</v>
      </c>
      <c r="B325" s="14" t="s">
        <v>314</v>
      </c>
      <c r="C325" s="130" t="s">
        <v>560</v>
      </c>
      <c r="D325" s="128">
        <v>873</v>
      </c>
      <c r="E325" s="84" t="s">
        <v>296</v>
      </c>
      <c r="F325" s="24" t="s">
        <v>316</v>
      </c>
      <c r="G325" s="18">
        <v>2022</v>
      </c>
      <c r="H325" s="135">
        <f>D325/IF(E325="S",_xlfn.XLOOKUP($G325,Tables_for_Reference!$J$15:$J$21,Tables_for_Reference!$I$15:$I$21),IF(ESG!$E325="W",_xlfn.XLOOKUP(ESG!$G325,Tables_for_Reference!$J$15:$J$21,Tables_for_Reference!$H$15:$H$21),"Error"))</f>
        <v>6.8123293015996872E-2</v>
      </c>
      <c r="I325" s="135">
        <f>$D325/IF($E325="S",_xlfn.XLOOKUP($G325,Tables_for_Reference!$J$24:$J$29,Tables_for_Reference!$I$24:$I$29),IF(ESG!E325="W",_xlfn.XLOOKUP(ESG!G325,Tables_for_Reference!$J$24:$J$29,Tables_for_Reference!$H$24:$H$29),"Error"))</f>
        <v>9.7161936560934886E-2</v>
      </c>
    </row>
    <row r="326" spans="1:9" x14ac:dyDescent="0.2">
      <c r="A326" s="134" t="s">
        <v>552</v>
      </c>
      <c r="B326" s="14" t="s">
        <v>314</v>
      </c>
      <c r="C326" s="130" t="s">
        <v>560</v>
      </c>
      <c r="D326" s="128">
        <v>815.5</v>
      </c>
      <c r="E326" s="84" t="s">
        <v>526</v>
      </c>
      <c r="F326" s="24" t="s">
        <v>316</v>
      </c>
      <c r="G326" s="18">
        <v>2021</v>
      </c>
      <c r="H326" s="135">
        <f>D326/IF(E326="S",_xlfn.XLOOKUP($G326,Tables_for_Reference!$J$15:$J$21,Tables_for_Reference!$I$15:$I$21),IF(ESG!$E326="W",_xlfn.XLOOKUP(ESG!$G326,Tables_for_Reference!$J$15:$J$21,Tables_for_Reference!$H$15:$H$21),"Error"))</f>
        <v>4.3502381828753718E-2</v>
      </c>
      <c r="I326" s="135">
        <f>$D326/IF($E326="S",_xlfn.XLOOKUP($G326,Tables_for_Reference!$J$24:$J$29,Tables_for_Reference!$I$24:$I$29),IF(ESG!E326="W",_xlfn.XLOOKUP(ESG!G326,Tables_for_Reference!$J$24:$J$29,Tables_for_Reference!$H$24:$H$29),"Error"))</f>
        <v>6.1756910261264675E-2</v>
      </c>
    </row>
    <row r="327" spans="1:9" x14ac:dyDescent="0.2">
      <c r="A327" s="134" t="s">
        <v>552</v>
      </c>
      <c r="B327" s="14" t="s">
        <v>314</v>
      </c>
      <c r="C327" s="130" t="s">
        <v>560</v>
      </c>
      <c r="D327" s="128">
        <v>594</v>
      </c>
      <c r="E327" s="84" t="s">
        <v>296</v>
      </c>
      <c r="F327" s="24" t="s">
        <v>316</v>
      </c>
      <c r="G327" s="18">
        <v>2021</v>
      </c>
      <c r="H327" s="135">
        <f>D327/IF(E327="S",_xlfn.XLOOKUP($G327,Tables_for_Reference!$J$15:$J$21,Tables_for_Reference!$I$15:$I$21),IF(ESG!$E327="W",_xlfn.XLOOKUP(ESG!$G327,Tables_for_Reference!$J$15:$J$21,Tables_for_Reference!$H$15:$H$21),"Error"))</f>
        <v>5.8771148708815675E-2</v>
      </c>
      <c r="I327" s="135">
        <f>$D327/IF($E327="S",_xlfn.XLOOKUP($G327,Tables_for_Reference!$J$24:$J$29,Tables_for_Reference!$I$24:$I$29),IF(ESG!E327="W",_xlfn.XLOOKUP(ESG!G327,Tables_for_Reference!$J$24:$J$29,Tables_for_Reference!$H$24:$H$29),"Error"))</f>
        <v>4.7548529117470484E-2</v>
      </c>
    </row>
    <row r="328" spans="1:9" x14ac:dyDescent="0.2">
      <c r="A328" s="134" t="s">
        <v>552</v>
      </c>
      <c r="B328" s="14" t="s">
        <v>314</v>
      </c>
      <c r="C328" s="130" t="s">
        <v>560</v>
      </c>
      <c r="D328" s="128">
        <v>978.1</v>
      </c>
      <c r="E328" s="84" t="s">
        <v>526</v>
      </c>
      <c r="F328" s="24" t="s">
        <v>316</v>
      </c>
      <c r="G328" s="18">
        <v>2020</v>
      </c>
      <c r="H328" s="135">
        <f>D328/IF(E328="S",_xlfn.XLOOKUP($G328,Tables_for_Reference!$J$15:$J$21,Tables_for_Reference!$I$15:$I$21),IF(ESG!$E328="W",_xlfn.XLOOKUP(ESG!$G328,Tables_for_Reference!$J$15:$J$21,Tables_for_Reference!$H$15:$H$21),"Error"))</f>
        <v>5.5640885612214717E-2</v>
      </c>
      <c r="I328" s="135">
        <f>$D328/IF($E328="S",_xlfn.XLOOKUP($G328,Tables_for_Reference!$J$24:$J$29,Tables_for_Reference!$I$24:$I$29),IF(ESG!E328="W",_xlfn.XLOOKUP(ESG!G328,Tables_for_Reference!$J$24:$J$29,Tables_for_Reference!$H$24:$H$29),"Error"))</f>
        <v>0.10812155245791098</v>
      </c>
    </row>
    <row r="329" spans="1:9" x14ac:dyDescent="0.2">
      <c r="A329" s="134" t="s">
        <v>552</v>
      </c>
      <c r="B329" s="14" t="s">
        <v>314</v>
      </c>
      <c r="C329" s="130" t="s">
        <v>560</v>
      </c>
      <c r="D329" s="128">
        <v>493</v>
      </c>
      <c r="E329" s="84" t="s">
        <v>296</v>
      </c>
      <c r="F329" s="24" t="s">
        <v>316</v>
      </c>
      <c r="G329" s="18">
        <v>2020</v>
      </c>
      <c r="H329" s="135">
        <f>D329/IF(E329="S",_xlfn.XLOOKUP($G329,Tables_for_Reference!$J$15:$J$21,Tables_for_Reference!$I$15:$I$21),IF(ESG!$E329="W",_xlfn.XLOOKUP(ESG!$G329,Tables_for_Reference!$J$15:$J$21,Tables_for_Reference!$H$15:$H$21),"Error"))</f>
        <v>5.779601406799531E-2</v>
      </c>
      <c r="I329" s="135">
        <f>$D329/IF($E329="S",_xlfn.XLOOKUP($G329,Tables_for_Reference!$J$24:$J$29,Tables_for_Reference!$I$24:$I$29),IF(ESG!E329="W",_xlfn.XLOOKUP(ESG!G329,Tables_for_Reference!$J$24:$J$29,Tables_for_Reference!$H$24:$H$29),"Error"))</f>
        <v>4.9807035622638454E-2</v>
      </c>
    </row>
    <row r="330" spans="1:9" x14ac:dyDescent="0.2">
      <c r="A330" s="134" t="s">
        <v>552</v>
      </c>
      <c r="B330" s="14" t="s">
        <v>314</v>
      </c>
      <c r="C330" s="130" t="s">
        <v>560</v>
      </c>
      <c r="D330" s="128">
        <v>1369.1</v>
      </c>
      <c r="E330" s="84" t="s">
        <v>526</v>
      </c>
      <c r="F330" s="24" t="s">
        <v>316</v>
      </c>
      <c r="G330" s="18">
        <v>2019</v>
      </c>
      <c r="H330" s="135">
        <f>D330/IF(E330="S",_xlfn.XLOOKUP($G330,Tables_for_Reference!$J$15:$J$21,Tables_for_Reference!$I$15:$I$21),IF(ESG!$E330="W",_xlfn.XLOOKUP(ESG!$G330,Tables_for_Reference!$J$15:$J$21,Tables_for_Reference!$H$15:$H$21),"Error"))</f>
        <v>7.4859204986603964E-2</v>
      </c>
      <c r="I330" s="135">
        <f>$D330/IF($E330="S",_xlfn.XLOOKUP($G330,Tables_for_Reference!$J$24:$J$29,Tables_for_Reference!$I$24:$I$29),IF(ESG!E330="W",_xlfn.XLOOKUP(ESG!G330,Tables_for_Reference!$J$24:$J$29,Tables_for_Reference!$H$24:$H$29),"Error"))</f>
        <v>0.14569853567171803</v>
      </c>
    </row>
    <row r="331" spans="1:9" x14ac:dyDescent="0.2">
      <c r="A331" s="134" t="s">
        <v>552</v>
      </c>
      <c r="B331" s="14" t="s">
        <v>314</v>
      </c>
      <c r="C331" s="130" t="s">
        <v>560</v>
      </c>
      <c r="D331" s="128">
        <v>612</v>
      </c>
      <c r="E331" s="84" t="s">
        <v>296</v>
      </c>
      <c r="F331" s="24" t="s">
        <v>316</v>
      </c>
      <c r="G331" s="18">
        <v>2019</v>
      </c>
      <c r="H331" s="135">
        <f>D331/IF(E331="S",_xlfn.XLOOKUP($G331,Tables_for_Reference!$J$15:$J$21,Tables_for_Reference!$I$15:$I$21),IF(ESG!$E331="W",_xlfn.XLOOKUP(ESG!$G331,Tables_for_Reference!$J$15:$J$21,Tables_for_Reference!$H$15:$H$21),"Error"))</f>
        <v>6.7639257294429711E-2</v>
      </c>
      <c r="I331" s="135">
        <f>$D331/IF($E331="S",_xlfn.XLOOKUP($G331,Tables_for_Reference!$J$24:$J$29,Tables_for_Reference!$I$24:$I$29),IF(ESG!E331="W",_xlfn.XLOOKUP(ESG!G331,Tables_for_Reference!$J$24:$J$29,Tables_for_Reference!$H$24:$H$29),"Error"))</f>
        <v>7.4592301879433484E-2</v>
      </c>
    </row>
    <row r="332" spans="1:9" x14ac:dyDescent="0.2">
      <c r="A332" s="134" t="s">
        <v>552</v>
      </c>
      <c r="B332" s="14" t="s">
        <v>314</v>
      </c>
      <c r="C332" s="130" t="s">
        <v>318</v>
      </c>
      <c r="D332" s="132">
        <v>0.17399999999999999</v>
      </c>
      <c r="E332" s="84" t="s">
        <v>525</v>
      </c>
      <c r="F332" s="24" t="s">
        <v>99</v>
      </c>
      <c r="G332" s="18">
        <v>2024</v>
      </c>
      <c r="H332" s="135" t="e">
        <f>D332/IF(E332="S",_xlfn.XLOOKUP($G332,Tables_for_Reference!$J$15:$J$21,Tables_for_Reference!$I$15:$I$21),IF(ESG!$E332="W",_xlfn.XLOOKUP(ESG!$G332,Tables_for_Reference!$J$15:$J$21,Tables_for_Reference!$H$15:$H$21),"Error"))</f>
        <v>#VALUE!</v>
      </c>
      <c r="I332" s="135" t="e">
        <f>$D332/IF($E332="S",_xlfn.XLOOKUP($G332,Tables_for_Reference!$J$24:$J$29,Tables_for_Reference!$I$24:$I$29),IF(ESG!E332="W",_xlfn.XLOOKUP(ESG!G332,Tables_for_Reference!$J$24:$J$29,Tables_for_Reference!$H$24:$H$29),"Error"))</f>
        <v>#VALUE!</v>
      </c>
    </row>
    <row r="333" spans="1:9" x14ac:dyDescent="0.2">
      <c r="A333" s="134" t="s">
        <v>552</v>
      </c>
      <c r="B333" s="14" t="s">
        <v>314</v>
      </c>
      <c r="C333" s="130" t="s">
        <v>318</v>
      </c>
      <c r="D333" s="132">
        <v>0.159</v>
      </c>
      <c r="E333" s="84" t="s">
        <v>526</v>
      </c>
      <c r="F333" s="24" t="s">
        <v>99</v>
      </c>
      <c r="G333" s="18">
        <v>2023</v>
      </c>
      <c r="H333" s="135">
        <f>D333/IF(E333="S",_xlfn.XLOOKUP($G333,Tables_for_Reference!$J$15:$J$21,Tables_for_Reference!$I$15:$I$21),IF(ESG!$E333="W",_xlfn.XLOOKUP(ESG!$G333,Tables_for_Reference!$J$15:$J$21,Tables_for_Reference!$H$15:$H$21),"Error"))</f>
        <v>7.828655834564255E-6</v>
      </c>
      <c r="I333" s="135">
        <f>$D333/IF($E333="S",_xlfn.XLOOKUP($G333,Tables_for_Reference!$J$24:$J$29,Tables_for_Reference!$I$24:$I$29),IF(ESG!E333="W",_xlfn.XLOOKUP(ESG!G333,Tables_for_Reference!$J$24:$J$29,Tables_for_Reference!$H$24:$H$29),"Error"))</f>
        <v>1.7321959669248618E-5</v>
      </c>
    </row>
    <row r="334" spans="1:9" x14ac:dyDescent="0.2">
      <c r="A334" s="134" t="s">
        <v>552</v>
      </c>
      <c r="B334" s="14" t="s">
        <v>314</v>
      </c>
      <c r="C334" s="130" t="s">
        <v>318</v>
      </c>
      <c r="D334" s="132">
        <v>0.16900000000000001</v>
      </c>
      <c r="E334" s="84" t="s">
        <v>296</v>
      </c>
      <c r="F334" s="24" t="s">
        <v>99</v>
      </c>
      <c r="G334" s="18">
        <v>2023</v>
      </c>
      <c r="H334" s="135">
        <f>D334/IF(E334="S",_xlfn.XLOOKUP($G334,Tables_for_Reference!$J$15:$J$21,Tables_for_Reference!$I$15:$I$21),IF(ESG!$E334="W",_xlfn.XLOOKUP(ESG!$G334,Tables_for_Reference!$J$15:$J$21,Tables_for_Reference!$H$15:$H$21),"Error"))</f>
        <v>1.4992902767920513E-5</v>
      </c>
      <c r="I334" s="135">
        <f>$D334/IF($E334="S",_xlfn.XLOOKUP($G334,Tables_for_Reference!$J$24:$J$29,Tables_for_Reference!$I$24:$I$29),IF(ESG!E334="W",_xlfn.XLOOKUP(ESG!G334,Tables_for_Reference!$J$24:$J$29,Tables_for_Reference!$H$24:$H$29),"Error"))</f>
        <v>1.8035516093229746E-5</v>
      </c>
    </row>
    <row r="335" spans="1:9" x14ac:dyDescent="0.2">
      <c r="A335" s="134" t="s">
        <v>552</v>
      </c>
      <c r="B335" s="14" t="s">
        <v>314</v>
      </c>
      <c r="C335" s="130" t="s">
        <v>318</v>
      </c>
      <c r="D335" s="132">
        <v>0.16200000000000001</v>
      </c>
      <c r="E335" s="84" t="s">
        <v>526</v>
      </c>
      <c r="F335" s="24" t="s">
        <v>99</v>
      </c>
      <c r="G335" s="18">
        <v>2022</v>
      </c>
      <c r="H335" s="135">
        <f>D335/IF(E335="S",_xlfn.XLOOKUP($G335,Tables_for_Reference!$J$15:$J$21,Tables_for_Reference!$I$15:$I$21),IF(ESG!$E335="W",_xlfn.XLOOKUP(ESG!$G335,Tables_for_Reference!$J$15:$J$21,Tables_for_Reference!$H$15:$H$21),"Error"))</f>
        <v>7.6211982217204153E-6</v>
      </c>
      <c r="I335" s="135">
        <f>$D335/IF($E335="S",_xlfn.XLOOKUP($G335,Tables_for_Reference!$J$24:$J$29,Tables_for_Reference!$I$24:$I$29),IF(ESG!E335="W",_xlfn.XLOOKUP(ESG!G335,Tables_for_Reference!$J$24:$J$29,Tables_for_Reference!$H$24:$H$29),"Error"))</f>
        <v>2.0614883436831928E-5</v>
      </c>
    </row>
    <row r="336" spans="1:9" x14ac:dyDescent="0.2">
      <c r="A336" s="134" t="s">
        <v>552</v>
      </c>
      <c r="B336" s="14" t="s">
        <v>314</v>
      </c>
      <c r="C336" s="130" t="s">
        <v>318</v>
      </c>
      <c r="D336" s="132">
        <v>0.161</v>
      </c>
      <c r="E336" s="84" t="s">
        <v>296</v>
      </c>
      <c r="F336" s="24" t="s">
        <v>99</v>
      </c>
      <c r="G336" s="18">
        <v>2022</v>
      </c>
      <c r="H336" s="135">
        <f>D336/IF(E336="S",_xlfn.XLOOKUP($G336,Tables_for_Reference!$J$15:$J$21,Tables_for_Reference!$I$15:$I$21),IF(ESG!$E336="W",_xlfn.XLOOKUP(ESG!$G336,Tables_for_Reference!$J$15:$J$21,Tables_for_Reference!$H$15:$H$21),"Error"))</f>
        <v>1.2563402262973079E-5</v>
      </c>
      <c r="I336" s="135">
        <f>$D336/IF($E336="S",_xlfn.XLOOKUP($G336,Tables_for_Reference!$J$24:$J$29,Tables_for_Reference!$I$24:$I$29),IF(ESG!E336="W",_xlfn.XLOOKUP(ESG!G336,Tables_for_Reference!$J$24:$J$29,Tables_for_Reference!$H$24:$H$29),"Error"))</f>
        <v>1.791875347801892E-5</v>
      </c>
    </row>
    <row r="337" spans="1:9" x14ac:dyDescent="0.2">
      <c r="A337" s="134" t="s">
        <v>552</v>
      </c>
      <c r="B337" s="14" t="s">
        <v>314</v>
      </c>
      <c r="C337" s="130" t="s">
        <v>318</v>
      </c>
      <c r="D337" s="132">
        <v>0.16</v>
      </c>
      <c r="E337" s="84" t="s">
        <v>526</v>
      </c>
      <c r="F337" s="24" t="s">
        <v>99</v>
      </c>
      <c r="G337" s="18">
        <v>2021</v>
      </c>
      <c r="H337" s="135">
        <f>D337/IF(E337="S",_xlfn.XLOOKUP($G337,Tables_for_Reference!$J$15:$J$21,Tables_for_Reference!$I$15:$I$21),IF(ESG!$E337="W",_xlfn.XLOOKUP(ESG!$G337,Tables_for_Reference!$J$15:$J$21,Tables_for_Reference!$H$15:$H$21),"Error"))</f>
        <v>8.5351086359296067E-6</v>
      </c>
      <c r="I337" s="135">
        <f>$D337/IF($E337="S",_xlfn.XLOOKUP($G337,Tables_for_Reference!$J$24:$J$29,Tables_for_Reference!$I$24:$I$29),IF(ESG!E337="W",_xlfn.XLOOKUP(ESG!G337,Tables_for_Reference!$J$24:$J$29,Tables_for_Reference!$H$24:$H$29),"Error"))</f>
        <v>1.21166224914805E-5</v>
      </c>
    </row>
    <row r="338" spans="1:9" x14ac:dyDescent="0.2">
      <c r="A338" s="134" t="s">
        <v>552</v>
      </c>
      <c r="B338" s="14" t="s">
        <v>314</v>
      </c>
      <c r="C338" s="130" t="s">
        <v>318</v>
      </c>
      <c r="D338" s="132">
        <v>0.16</v>
      </c>
      <c r="E338" s="84" t="s">
        <v>296</v>
      </c>
      <c r="F338" s="24" t="s">
        <v>99</v>
      </c>
      <c r="G338" s="18">
        <v>2021</v>
      </c>
      <c r="H338" s="135">
        <f>D338/IF(E338="S",_xlfn.XLOOKUP($G338,Tables_for_Reference!$J$15:$J$21,Tables_for_Reference!$I$15:$I$21),IF(ESG!$E338="W",_xlfn.XLOOKUP(ESG!$G338,Tables_for_Reference!$J$15:$J$21,Tables_for_Reference!$H$15:$H$21),"Error"))</f>
        <v>1.5830612446819038E-5</v>
      </c>
      <c r="I338" s="135">
        <f>$D338/IF($E338="S",_xlfn.XLOOKUP($G338,Tables_for_Reference!$J$24:$J$29,Tables_for_Reference!$I$24:$I$29),IF(ESG!E338="W",_xlfn.XLOOKUP(ESG!G338,Tables_for_Reference!$J$24:$J$29,Tables_for_Reference!$H$24:$H$29),"Error"))</f>
        <v>1.280768461076646E-5</v>
      </c>
    </row>
    <row r="339" spans="1:9" x14ac:dyDescent="0.2">
      <c r="A339" s="134" t="s">
        <v>552</v>
      </c>
      <c r="B339" s="14" t="s">
        <v>314</v>
      </c>
      <c r="C339" s="130" t="s">
        <v>318</v>
      </c>
      <c r="D339" s="132">
        <v>0.16400000000000001</v>
      </c>
      <c r="E339" s="84" t="s">
        <v>526</v>
      </c>
      <c r="F339" s="24" t="s">
        <v>99</v>
      </c>
      <c r="G339" s="18">
        <v>2020</v>
      </c>
      <c r="H339" s="135">
        <f>D339/IF(E339="S",_xlfn.XLOOKUP($G339,Tables_for_Reference!$J$15:$J$21,Tables_for_Reference!$I$15:$I$21),IF(ESG!$E339="W",_xlfn.XLOOKUP(ESG!$G339,Tables_for_Reference!$J$15:$J$21,Tables_for_Reference!$H$15:$H$21),"Error"))</f>
        <v>9.3294195280679012E-6</v>
      </c>
      <c r="I339" s="135">
        <f>$D339/IF($E339="S",_xlfn.XLOOKUP($G339,Tables_for_Reference!$J$24:$J$29,Tables_for_Reference!$I$24:$I$29),IF(ESG!E339="W",_xlfn.XLOOKUP(ESG!G339,Tables_for_Reference!$J$24:$J$29,Tables_for_Reference!$H$24:$H$29),"Error"))</f>
        <v>1.8128958800835703E-5</v>
      </c>
    </row>
    <row r="340" spans="1:9" x14ac:dyDescent="0.2">
      <c r="A340" s="134" t="s">
        <v>552</v>
      </c>
      <c r="B340" s="14" t="s">
        <v>314</v>
      </c>
      <c r="C340" s="130" t="s">
        <v>318</v>
      </c>
      <c r="D340" s="132">
        <v>0.17299999999999999</v>
      </c>
      <c r="E340" s="84" t="s">
        <v>296</v>
      </c>
      <c r="F340" s="24" t="s">
        <v>99</v>
      </c>
      <c r="G340" s="18">
        <v>2020</v>
      </c>
      <c r="H340" s="135">
        <f>D340/IF(E340="S",_xlfn.XLOOKUP($G340,Tables_for_Reference!$J$15:$J$21,Tables_for_Reference!$I$15:$I$21),IF(ESG!$E340="W",_xlfn.XLOOKUP(ESG!$G340,Tables_for_Reference!$J$15:$J$21,Tables_for_Reference!$H$15:$H$21),"Error"))</f>
        <v>2.0281359906213364E-5</v>
      </c>
      <c r="I340" s="135">
        <f>$D340/IF($E340="S",_xlfn.XLOOKUP($G340,Tables_for_Reference!$J$24:$J$29,Tables_for_Reference!$I$24:$I$29),IF(ESG!E340="W",_xlfn.XLOOKUP(ESG!G340,Tables_for_Reference!$J$24:$J$29,Tables_for_Reference!$H$24:$H$29),"Error"))</f>
        <v>1.7477925279343717E-5</v>
      </c>
    </row>
    <row r="341" spans="1:9" x14ac:dyDescent="0.2">
      <c r="A341" s="134" t="s">
        <v>552</v>
      </c>
      <c r="B341" s="14" t="s">
        <v>314</v>
      </c>
      <c r="C341" s="130" t="s">
        <v>318</v>
      </c>
      <c r="D341" s="132">
        <v>0.17399999999999999</v>
      </c>
      <c r="E341" s="84" t="s">
        <v>526</v>
      </c>
      <c r="F341" s="24" t="s">
        <v>99</v>
      </c>
      <c r="G341" s="18">
        <v>2019</v>
      </c>
      <c r="H341" s="135">
        <f>D341/IF(E341="S",_xlfn.XLOOKUP($G341,Tables_for_Reference!$J$15:$J$21,Tables_for_Reference!$I$15:$I$21),IF(ESG!$E341="W",_xlfn.XLOOKUP(ESG!$G341,Tables_for_Reference!$J$15:$J$21,Tables_for_Reference!$H$15:$H$21),"Error"))</f>
        <v>9.5139154683142859E-6</v>
      </c>
      <c r="I341" s="135">
        <f>$D341/IF($E341="S",_xlfn.XLOOKUP($G341,Tables_for_Reference!$J$24:$J$29,Tables_for_Reference!$I$24:$I$29),IF(ESG!E341="W",_xlfn.XLOOKUP(ESG!G341,Tables_for_Reference!$J$24:$J$29,Tables_for_Reference!$H$24:$H$29),"Error"))</f>
        <v>1.8516941937680913E-5</v>
      </c>
    </row>
    <row r="342" spans="1:9" x14ac:dyDescent="0.2">
      <c r="A342" s="134" t="s">
        <v>552</v>
      </c>
      <c r="B342" s="14" t="s">
        <v>314</v>
      </c>
      <c r="C342" s="130" t="s">
        <v>318</v>
      </c>
      <c r="D342" s="132">
        <v>0.17699999999999999</v>
      </c>
      <c r="E342" s="84" t="s">
        <v>296</v>
      </c>
      <c r="F342" s="24" t="s">
        <v>99</v>
      </c>
      <c r="G342" s="18">
        <v>2019</v>
      </c>
      <c r="H342" s="135">
        <f>D342/IF(E342="S",_xlfn.XLOOKUP($G342,Tables_for_Reference!$J$15:$J$21,Tables_for_Reference!$I$15:$I$21),IF(ESG!$E342="W",_xlfn.XLOOKUP(ESG!$G342,Tables_for_Reference!$J$15:$J$21,Tables_for_Reference!$H$15:$H$21),"Error"))</f>
        <v>1.956233421750663E-5</v>
      </c>
      <c r="I342" s="135">
        <f>$D342/IF($E342="S",_xlfn.XLOOKUP($G342,Tables_for_Reference!$J$24:$J$29,Tables_for_Reference!$I$24:$I$29),IF(ESG!E342="W",_xlfn.XLOOKUP(ESG!G342,Tables_for_Reference!$J$24:$J$29,Tables_for_Reference!$H$24:$H$29),"Error"))</f>
        <v>2.1573263778855761E-5</v>
      </c>
    </row>
  </sheetData>
  <autoFilter ref="A1:G426" xr:uid="{C061F32E-1902-DD41-92BB-695D34E1F5E8}">
    <sortState xmlns:xlrd2="http://schemas.microsoft.com/office/spreadsheetml/2017/richdata2" ref="A2:G426">
      <sortCondition ref="G1:G426"/>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2E7D4F"/>
  </sheetPr>
  <dimension ref="A1:R240"/>
  <sheetViews>
    <sheetView showGridLines="0" zoomScale="150" workbookViewId="0">
      <selection activeCell="B4" sqref="B4:H178"/>
    </sheetView>
  </sheetViews>
  <sheetFormatPr baseColWidth="10" defaultColWidth="8.6640625" defaultRowHeight="15" x14ac:dyDescent="0.2"/>
  <cols>
    <col min="1" max="1" width="4" customWidth="1"/>
    <col min="2" max="2" width="12" customWidth="1"/>
    <col min="3" max="3" width="18" customWidth="1"/>
    <col min="4" max="4" width="35.6640625" customWidth="1"/>
    <col min="5" max="6" width="14" customWidth="1"/>
    <col min="7" max="7" width="12" customWidth="1"/>
    <col min="8" max="8" width="10" customWidth="1"/>
    <col min="9" max="9" width="20.1640625" customWidth="1"/>
    <col min="10" max="10" width="22.83203125" customWidth="1"/>
    <col min="11" max="11" width="21.1640625" customWidth="1"/>
    <col min="12" max="16" width="12" customWidth="1"/>
    <col min="17" max="17" width="14" customWidth="1"/>
    <col min="18" max="18" width="28" customWidth="1"/>
  </cols>
  <sheetData>
    <row r="1" spans="1:18" ht="36" customHeight="1" x14ac:dyDescent="0.2">
      <c r="A1" s="101" t="s">
        <v>255</v>
      </c>
      <c r="B1" s="102"/>
      <c r="C1" s="102"/>
      <c r="D1" s="102"/>
      <c r="E1" s="102"/>
      <c r="F1" s="102"/>
      <c r="G1" s="102"/>
      <c r="H1" s="102"/>
      <c r="I1" s="102"/>
      <c r="J1" s="102"/>
      <c r="K1" s="102"/>
      <c r="L1" s="102"/>
      <c r="M1" s="102"/>
      <c r="N1" s="102"/>
      <c r="O1" s="102"/>
      <c r="P1" s="102"/>
      <c r="Q1" s="102"/>
      <c r="R1" s="102"/>
    </row>
    <row r="2" spans="1:18" ht="44" customHeight="1" x14ac:dyDescent="0.2">
      <c r="A2" s="64" t="s">
        <v>256</v>
      </c>
      <c r="B2" s="64"/>
      <c r="C2" s="64"/>
      <c r="D2" s="70" t="s">
        <v>257</v>
      </c>
      <c r="E2" s="64" t="s">
        <v>258</v>
      </c>
      <c r="F2" s="64"/>
      <c r="G2" s="64"/>
      <c r="H2" s="64"/>
      <c r="I2" s="64"/>
      <c r="J2" s="64"/>
      <c r="K2" s="64"/>
      <c r="L2" s="12" t="s">
        <v>259</v>
      </c>
      <c r="M2" s="12" t="s">
        <v>260</v>
      </c>
      <c r="N2" s="12" t="s">
        <v>261</v>
      </c>
      <c r="O2" s="12" t="s">
        <v>262</v>
      </c>
      <c r="P2" s="12" t="s">
        <v>263</v>
      </c>
      <c r="Q2" s="12" t="s">
        <v>264</v>
      </c>
      <c r="R2" s="12"/>
    </row>
    <row r="3" spans="1:18" ht="39.75" customHeight="1" x14ac:dyDescent="0.2">
      <c r="A3" s="11" t="s">
        <v>45</v>
      </c>
      <c r="B3" s="11" t="s">
        <v>265</v>
      </c>
      <c r="C3" s="11" t="s">
        <v>266</v>
      </c>
      <c r="D3" s="11" t="s">
        <v>46</v>
      </c>
      <c r="E3" s="11" t="s">
        <v>267</v>
      </c>
      <c r="F3" s="11" t="s">
        <v>527</v>
      </c>
      <c r="G3" s="11" t="s">
        <v>49</v>
      </c>
      <c r="H3" s="11" t="s">
        <v>268</v>
      </c>
      <c r="I3" s="11" t="s">
        <v>269</v>
      </c>
      <c r="J3" s="11" t="s">
        <v>270</v>
      </c>
      <c r="K3" s="11" t="s">
        <v>271</v>
      </c>
      <c r="L3" s="11" t="s">
        <v>272</v>
      </c>
      <c r="M3" s="11" t="s">
        <v>273</v>
      </c>
      <c r="N3" s="11" t="s">
        <v>274</v>
      </c>
      <c r="O3" s="11" t="s">
        <v>275</v>
      </c>
      <c r="P3" s="11" t="s">
        <v>276</v>
      </c>
      <c r="Q3" s="11" t="s">
        <v>277</v>
      </c>
      <c r="R3" s="11" t="s">
        <v>278</v>
      </c>
    </row>
    <row r="4" spans="1:18" ht="46" customHeight="1" x14ac:dyDescent="0.2">
      <c r="A4" s="13"/>
      <c r="B4" s="13" t="s">
        <v>279</v>
      </c>
      <c r="C4" s="14" t="s">
        <v>288</v>
      </c>
      <c r="D4" s="23" t="s">
        <v>530</v>
      </c>
      <c r="E4" s="73">
        <v>5</v>
      </c>
      <c r="F4" s="74" t="s">
        <v>296</v>
      </c>
      <c r="G4" s="17" t="s">
        <v>290</v>
      </c>
      <c r="H4" s="18">
        <v>2019</v>
      </c>
      <c r="I4" s="133" t="s">
        <v>282</v>
      </c>
      <c r="J4" s="78" t="s">
        <v>568</v>
      </c>
      <c r="K4" s="71"/>
      <c r="L4" s="16">
        <v>25</v>
      </c>
      <c r="M4" s="16">
        <v>15</v>
      </c>
      <c r="N4" s="16">
        <v>5</v>
      </c>
      <c r="O4" s="16">
        <v>15</v>
      </c>
      <c r="P4" s="20">
        <f>L4+M4+N4+O4</f>
        <v>60</v>
      </c>
      <c r="Q4" s="15" t="str">
        <f>IF(P4&gt;=80,"✅ High Quality",IF(P4&gt;=60,"🟡 Acceptable",IF(P4&gt;=40,"⚠️ Use with Caution","🔴 Insufficient")))</f>
        <v>🟡 Acceptable</v>
      </c>
      <c r="R4" s="82"/>
    </row>
    <row r="5" spans="1:18" ht="46" customHeight="1" x14ac:dyDescent="0.2">
      <c r="A5" s="13"/>
      <c r="B5" s="13" t="s">
        <v>279</v>
      </c>
      <c r="C5" s="14" t="s">
        <v>288</v>
      </c>
      <c r="D5" s="23" t="s">
        <v>530</v>
      </c>
      <c r="E5" s="73">
        <v>6</v>
      </c>
      <c r="F5" s="74" t="s">
        <v>296</v>
      </c>
      <c r="G5" s="17" t="s">
        <v>290</v>
      </c>
      <c r="H5" s="18">
        <v>2021</v>
      </c>
      <c r="I5" s="133" t="s">
        <v>282</v>
      </c>
      <c r="J5" s="78" t="s">
        <v>567</v>
      </c>
      <c r="K5" s="71"/>
      <c r="L5" s="16">
        <v>25</v>
      </c>
      <c r="M5" s="16">
        <v>15</v>
      </c>
      <c r="N5" s="16">
        <v>5</v>
      </c>
      <c r="O5" s="16">
        <v>15</v>
      </c>
      <c r="P5" s="20">
        <f>L5+M5+N5+O5</f>
        <v>60</v>
      </c>
      <c r="Q5" s="15" t="str">
        <f>IF(P5&gt;=80,"✅ High Quality",IF(P5&gt;=60,"🟡 Acceptable",IF(P5&gt;=40,"⚠️ Use with Caution","🔴 Insufficient")))</f>
        <v>🟡 Acceptable</v>
      </c>
      <c r="R5" s="82"/>
    </row>
    <row r="6" spans="1:18" ht="46" customHeight="1" x14ac:dyDescent="0.2">
      <c r="A6" s="13"/>
      <c r="B6" s="13" t="s">
        <v>279</v>
      </c>
      <c r="C6" s="14" t="s">
        <v>288</v>
      </c>
      <c r="D6" s="23" t="s">
        <v>530</v>
      </c>
      <c r="E6" s="73">
        <v>6</v>
      </c>
      <c r="F6" s="74" t="s">
        <v>296</v>
      </c>
      <c r="G6" s="17" t="s">
        <v>290</v>
      </c>
      <c r="H6" s="18">
        <v>2020</v>
      </c>
      <c r="I6" s="133" t="s">
        <v>282</v>
      </c>
      <c r="J6" s="78" t="s">
        <v>567</v>
      </c>
      <c r="K6" s="71"/>
      <c r="L6" s="16">
        <v>25</v>
      </c>
      <c r="M6" s="16">
        <v>15</v>
      </c>
      <c r="N6" s="16">
        <v>5</v>
      </c>
      <c r="O6" s="16">
        <v>15</v>
      </c>
      <c r="P6" s="20">
        <f>L6+M6+N6+O6</f>
        <v>60</v>
      </c>
      <c r="Q6" s="15" t="str">
        <f>IF(P6&gt;=80,"✅ High Quality",IF(P6&gt;=60,"🟡 Acceptable",IF(P6&gt;=40,"⚠️ Use with Caution","🔴 Insufficient")))</f>
        <v>🟡 Acceptable</v>
      </c>
      <c r="R6" s="82"/>
    </row>
    <row r="7" spans="1:18" ht="46" customHeight="1" x14ac:dyDescent="0.2">
      <c r="A7" s="13"/>
      <c r="B7" s="13" t="s">
        <v>279</v>
      </c>
      <c r="C7" s="14" t="s">
        <v>288</v>
      </c>
      <c r="D7" s="23" t="s">
        <v>530</v>
      </c>
      <c r="E7" s="73">
        <v>8</v>
      </c>
      <c r="F7" s="74" t="s">
        <v>296</v>
      </c>
      <c r="G7" s="17" t="s">
        <v>290</v>
      </c>
      <c r="H7" s="18">
        <v>2022</v>
      </c>
      <c r="I7" s="133" t="s">
        <v>282</v>
      </c>
      <c r="J7" s="78" t="s">
        <v>566</v>
      </c>
      <c r="K7" s="71"/>
      <c r="L7" s="16">
        <v>25</v>
      </c>
      <c r="M7" s="16">
        <v>15</v>
      </c>
      <c r="N7" s="16">
        <v>20</v>
      </c>
      <c r="O7" s="16">
        <v>15</v>
      </c>
      <c r="P7" s="20">
        <f>L7+M7+N7+O7</f>
        <v>75</v>
      </c>
      <c r="Q7" s="15" t="str">
        <f>IF(P7&gt;=80,"✅ High Quality",IF(P7&gt;=60,"🟡 Acceptable",IF(P7&gt;=40,"⚠️ Use with Caution","🔴 Insufficient")))</f>
        <v>🟡 Acceptable</v>
      </c>
      <c r="R7" s="82"/>
    </row>
    <row r="8" spans="1:18" ht="46" customHeight="1" x14ac:dyDescent="0.2">
      <c r="A8" s="13"/>
      <c r="B8" s="13" t="s">
        <v>279</v>
      </c>
      <c r="C8" s="14" t="s">
        <v>288</v>
      </c>
      <c r="D8" s="23" t="s">
        <v>530</v>
      </c>
      <c r="E8" s="73">
        <v>11</v>
      </c>
      <c r="F8" s="74" t="s">
        <v>296</v>
      </c>
      <c r="G8" s="17" t="s">
        <v>290</v>
      </c>
      <c r="H8" s="18">
        <v>2023</v>
      </c>
      <c r="I8" s="133" t="s">
        <v>282</v>
      </c>
      <c r="J8" s="78" t="s">
        <v>565</v>
      </c>
      <c r="K8" s="71"/>
      <c r="L8" s="16">
        <v>25</v>
      </c>
      <c r="M8" s="16">
        <v>15</v>
      </c>
      <c r="N8" s="16">
        <v>25</v>
      </c>
      <c r="O8" s="16">
        <v>15</v>
      </c>
      <c r="P8" s="20">
        <f>L8+M8+N8+O8</f>
        <v>80</v>
      </c>
      <c r="Q8" s="15" t="str">
        <f>IF(P8&gt;=80,"✅ High Quality",IF(P8&gt;=60,"🟡 Acceptable",IF(P8&gt;=40,"⚠️ Use with Caution","🔴 Insufficient")))</f>
        <v>✅ High Quality</v>
      </c>
      <c r="R8" s="82"/>
    </row>
    <row r="9" spans="1:18" ht="46" customHeight="1" x14ac:dyDescent="0.2">
      <c r="A9" s="13"/>
      <c r="B9" s="13" t="s">
        <v>279</v>
      </c>
      <c r="C9" s="14" t="s">
        <v>288</v>
      </c>
      <c r="D9" s="23" t="s">
        <v>530</v>
      </c>
      <c r="E9" s="73">
        <v>22</v>
      </c>
      <c r="F9" s="74" t="s">
        <v>296</v>
      </c>
      <c r="G9" s="17" t="s">
        <v>290</v>
      </c>
      <c r="H9" s="18">
        <v>2024</v>
      </c>
      <c r="I9" s="133" t="s">
        <v>282</v>
      </c>
      <c r="J9" s="78" t="s">
        <v>564</v>
      </c>
      <c r="K9" s="71"/>
      <c r="L9" s="16">
        <v>25</v>
      </c>
      <c r="M9" s="16">
        <v>15</v>
      </c>
      <c r="N9" s="16">
        <v>25</v>
      </c>
      <c r="O9" s="16">
        <v>15</v>
      </c>
      <c r="P9" s="20">
        <f>L9+M9+N9+O9</f>
        <v>80</v>
      </c>
      <c r="Q9" s="15" t="str">
        <f>IF(P9&gt;=80,"✅ High Quality",IF(P9&gt;=60,"🟡 Acceptable",IF(P9&gt;=40,"⚠️ Use with Caution","🔴 Insufficient")))</f>
        <v>✅ High Quality</v>
      </c>
      <c r="R9" s="82"/>
    </row>
    <row r="10" spans="1:18" ht="46" customHeight="1" x14ac:dyDescent="0.2">
      <c r="A10" s="13"/>
      <c r="B10" s="13" t="s">
        <v>279</v>
      </c>
      <c r="C10" s="14" t="s">
        <v>280</v>
      </c>
      <c r="D10" s="15" t="s">
        <v>539</v>
      </c>
      <c r="E10" s="73">
        <v>467</v>
      </c>
      <c r="F10" s="74" t="s">
        <v>296</v>
      </c>
      <c r="G10" s="17" t="s">
        <v>281</v>
      </c>
      <c r="H10" s="18">
        <v>2023</v>
      </c>
      <c r="I10" s="133" t="s">
        <v>282</v>
      </c>
      <c r="J10" s="78" t="s">
        <v>565</v>
      </c>
      <c r="K10" s="71"/>
      <c r="L10" s="16">
        <v>25</v>
      </c>
      <c r="M10" s="16">
        <v>15</v>
      </c>
      <c r="N10" s="16">
        <v>25</v>
      </c>
      <c r="O10" s="16">
        <v>15</v>
      </c>
      <c r="P10" s="20">
        <f>L10+M10+N10+O10</f>
        <v>80</v>
      </c>
      <c r="Q10" s="15" t="str">
        <f>IF(P10&gt;=80,"✅ High Quality",IF(P10&gt;=60,"🟡 Acceptable",IF(P10&gt;=40,"⚠️ Use with Caution","🔴 Insufficient")))</f>
        <v>✅ High Quality</v>
      </c>
      <c r="R10" s="82"/>
    </row>
    <row r="11" spans="1:18" ht="46" customHeight="1" x14ac:dyDescent="0.2">
      <c r="A11" s="13"/>
      <c r="B11" s="13" t="s">
        <v>279</v>
      </c>
      <c r="C11" s="22" t="s">
        <v>291</v>
      </c>
      <c r="D11" s="23" t="s">
        <v>535</v>
      </c>
      <c r="E11" s="73">
        <v>8389.545454545454</v>
      </c>
      <c r="F11" s="74" t="s">
        <v>526</v>
      </c>
      <c r="G11" s="24" t="s">
        <v>295</v>
      </c>
      <c r="H11" s="18">
        <v>2024</v>
      </c>
      <c r="I11" s="133" t="s">
        <v>282</v>
      </c>
      <c r="J11" s="78" t="s">
        <v>564</v>
      </c>
      <c r="K11" s="71"/>
      <c r="L11" s="16">
        <v>25</v>
      </c>
      <c r="M11" s="16">
        <v>15</v>
      </c>
      <c r="N11" s="16">
        <v>25</v>
      </c>
      <c r="O11" s="16">
        <v>15</v>
      </c>
      <c r="P11" s="20">
        <f>L11+M11+N11+O11</f>
        <v>80</v>
      </c>
      <c r="Q11" s="23" t="str">
        <f>IF(P11&gt;=80,"✅ High Quality",IF(P11&gt;=60,"🟡 Acceptable",IF(P11&gt;=40,"⚠️ Use with Caution","🔴 Insufficient")))</f>
        <v>✅ High Quality</v>
      </c>
      <c r="R11" s="82"/>
    </row>
    <row r="12" spans="1:18" ht="46" customHeight="1" x14ac:dyDescent="0.2">
      <c r="A12" s="13"/>
      <c r="B12" s="13" t="s">
        <v>279</v>
      </c>
      <c r="C12" s="14" t="s">
        <v>293</v>
      </c>
      <c r="D12" s="15" t="s">
        <v>548</v>
      </c>
      <c r="E12" s="73">
        <v>8774</v>
      </c>
      <c r="F12" s="74" t="s">
        <v>296</v>
      </c>
      <c r="G12" s="17" t="s">
        <v>295</v>
      </c>
      <c r="H12" s="18">
        <v>2021</v>
      </c>
      <c r="I12" s="133" t="s">
        <v>282</v>
      </c>
      <c r="J12" s="78" t="s">
        <v>567</v>
      </c>
      <c r="K12" s="71"/>
      <c r="L12" s="16">
        <v>25</v>
      </c>
      <c r="M12" s="16">
        <v>15</v>
      </c>
      <c r="N12" s="16">
        <v>5</v>
      </c>
      <c r="O12" s="16">
        <v>15</v>
      </c>
      <c r="P12" s="20">
        <f>L12+M12+N12+O12</f>
        <v>60</v>
      </c>
      <c r="Q12" s="23" t="str">
        <f>IF(P12&gt;=80,"✅ High Quality",IF(P12&gt;=60,"🟡 Acceptable",IF(P12&gt;=40,"⚠️ Use with Caution","🔴 Insufficient")))</f>
        <v>🟡 Acceptable</v>
      </c>
      <c r="R12" s="82"/>
    </row>
    <row r="13" spans="1:18" ht="46" customHeight="1" x14ac:dyDescent="0.2">
      <c r="A13" s="13"/>
      <c r="B13" s="13" t="s">
        <v>279</v>
      </c>
      <c r="C13" s="22" t="s">
        <v>291</v>
      </c>
      <c r="D13" s="23" t="s">
        <v>535</v>
      </c>
      <c r="E13" s="73">
        <v>8875.4545454545441</v>
      </c>
      <c r="F13" s="74" t="s">
        <v>526</v>
      </c>
      <c r="G13" s="24" t="s">
        <v>295</v>
      </c>
      <c r="H13" s="18">
        <v>2023</v>
      </c>
      <c r="I13" s="133" t="s">
        <v>282</v>
      </c>
      <c r="J13" s="78" t="s">
        <v>284</v>
      </c>
      <c r="K13" s="71"/>
      <c r="L13" s="16">
        <v>25</v>
      </c>
      <c r="M13" s="16">
        <v>15</v>
      </c>
      <c r="N13" s="16">
        <v>25</v>
      </c>
      <c r="O13" s="16">
        <v>15</v>
      </c>
      <c r="P13" s="20">
        <f>L13+M13+N13+O13</f>
        <v>80</v>
      </c>
      <c r="Q13" s="23" t="str">
        <f>IF(P13&gt;=80,"✅ High Quality",IF(P13&gt;=60,"🟡 Acceptable",IF(P13&gt;=40,"⚠️ Use with Caution","🔴 Insufficient")))</f>
        <v>✅ High Quality</v>
      </c>
      <c r="R13" s="82"/>
    </row>
    <row r="14" spans="1:18" ht="46" customHeight="1" x14ac:dyDescent="0.2">
      <c r="A14" s="13"/>
      <c r="B14" s="13" t="s">
        <v>279</v>
      </c>
      <c r="C14" s="14" t="s">
        <v>293</v>
      </c>
      <c r="D14" s="15" t="s">
        <v>542</v>
      </c>
      <c r="E14" s="73">
        <v>9002</v>
      </c>
      <c r="F14" s="74" t="s">
        <v>296</v>
      </c>
      <c r="G14" s="17" t="s">
        <v>295</v>
      </c>
      <c r="H14" s="18">
        <v>2020</v>
      </c>
      <c r="I14" s="133" t="s">
        <v>282</v>
      </c>
      <c r="J14" s="78" t="s">
        <v>567</v>
      </c>
      <c r="K14" s="71"/>
      <c r="L14" s="16">
        <v>25</v>
      </c>
      <c r="M14" s="16">
        <v>15</v>
      </c>
      <c r="N14" s="16">
        <v>5</v>
      </c>
      <c r="O14" s="16">
        <v>15</v>
      </c>
      <c r="P14" s="20">
        <f>L14+M14+N14+O14</f>
        <v>60</v>
      </c>
      <c r="Q14" s="23" t="str">
        <f>IF(P14&gt;=80,"✅ High Quality",IF(P14&gt;=60,"🟡 Acceptable",IF(P14&gt;=40,"⚠️ Use with Caution","🔴 Insufficient")))</f>
        <v>🟡 Acceptable</v>
      </c>
      <c r="R14" s="82"/>
    </row>
    <row r="15" spans="1:18" ht="46" customHeight="1" x14ac:dyDescent="0.2">
      <c r="A15" s="13"/>
      <c r="B15" s="13" t="s">
        <v>279</v>
      </c>
      <c r="C15" s="22" t="s">
        <v>291</v>
      </c>
      <c r="D15" s="23" t="s">
        <v>535</v>
      </c>
      <c r="E15" s="73">
        <v>9255</v>
      </c>
      <c r="F15" s="74" t="s">
        <v>526</v>
      </c>
      <c r="G15" s="24" t="s">
        <v>295</v>
      </c>
      <c r="H15" s="18">
        <v>2020</v>
      </c>
      <c r="I15" s="133" t="s">
        <v>282</v>
      </c>
      <c r="J15" s="78" t="s">
        <v>287</v>
      </c>
      <c r="K15" s="71"/>
      <c r="L15" s="16">
        <v>25</v>
      </c>
      <c r="M15" s="16">
        <v>15</v>
      </c>
      <c r="N15" s="16">
        <v>5</v>
      </c>
      <c r="O15" s="16">
        <v>15</v>
      </c>
      <c r="P15" s="20">
        <f>L15+M15+N15+O15</f>
        <v>60</v>
      </c>
      <c r="Q15" s="23" t="str">
        <f>IF(P15&gt;=80,"✅ High Quality",IF(P15&gt;=60,"🟡 Acceptable",IF(P15&gt;=40,"⚠️ Use with Caution","🔴 Insufficient")))</f>
        <v>🟡 Acceptable</v>
      </c>
      <c r="R15" s="82"/>
    </row>
    <row r="16" spans="1:18" ht="46" customHeight="1" x14ac:dyDescent="0.2">
      <c r="A16" s="13"/>
      <c r="B16" s="13" t="s">
        <v>279</v>
      </c>
      <c r="C16" s="14" t="s">
        <v>293</v>
      </c>
      <c r="D16" s="15" t="s">
        <v>548</v>
      </c>
      <c r="E16" s="73">
        <v>9655</v>
      </c>
      <c r="F16" s="74" t="s">
        <v>296</v>
      </c>
      <c r="G16" s="17" t="s">
        <v>295</v>
      </c>
      <c r="H16" s="18">
        <v>2019</v>
      </c>
      <c r="I16" s="133" t="s">
        <v>282</v>
      </c>
      <c r="J16" s="78" t="s">
        <v>568</v>
      </c>
      <c r="K16" s="71"/>
      <c r="L16" s="16">
        <v>25</v>
      </c>
      <c r="M16" s="16">
        <v>15</v>
      </c>
      <c r="N16" s="16">
        <v>5</v>
      </c>
      <c r="O16" s="16">
        <v>15</v>
      </c>
      <c r="P16" s="20">
        <f>L16+M16+N16+O16</f>
        <v>60</v>
      </c>
      <c r="Q16" s="23" t="str">
        <f>IF(P16&gt;=80,"✅ High Quality",IF(P16&gt;=60,"🟡 Acceptable",IF(P16&gt;=40,"⚠️ Use with Caution","🔴 Insufficient")))</f>
        <v>🟡 Acceptable</v>
      </c>
      <c r="R16" s="82"/>
    </row>
    <row r="17" spans="1:18" ht="46" customHeight="1" x14ac:dyDescent="0.2">
      <c r="A17" s="13"/>
      <c r="B17" s="13" t="s">
        <v>279</v>
      </c>
      <c r="C17" s="22" t="s">
        <v>291</v>
      </c>
      <c r="D17" s="23" t="s">
        <v>535</v>
      </c>
      <c r="E17" s="73">
        <v>9787.2727272727261</v>
      </c>
      <c r="F17" s="74" t="s">
        <v>526</v>
      </c>
      <c r="G17" s="24" t="s">
        <v>295</v>
      </c>
      <c r="H17" s="18">
        <v>2021</v>
      </c>
      <c r="I17" s="133" t="s">
        <v>282</v>
      </c>
      <c r="J17" s="78" t="s">
        <v>286</v>
      </c>
      <c r="K17" s="71"/>
      <c r="L17" s="16">
        <v>25</v>
      </c>
      <c r="M17" s="16">
        <v>15</v>
      </c>
      <c r="N17" s="16">
        <v>5</v>
      </c>
      <c r="O17" s="16">
        <v>15</v>
      </c>
      <c r="P17" s="20">
        <f>L17+M17+N17+O17</f>
        <v>60</v>
      </c>
      <c r="Q17" s="23" t="str">
        <f>IF(P17&gt;=80,"✅ High Quality",IF(P17&gt;=60,"🟡 Acceptable",IF(P17&gt;=40,"⚠️ Use with Caution","🔴 Insufficient")))</f>
        <v>🟡 Acceptable</v>
      </c>
      <c r="R17" s="82"/>
    </row>
    <row r="18" spans="1:18" ht="46" customHeight="1" x14ac:dyDescent="0.2">
      <c r="A18" s="13"/>
      <c r="B18" s="13" t="s">
        <v>279</v>
      </c>
      <c r="C18" s="22" t="s">
        <v>291</v>
      </c>
      <c r="D18" s="23" t="s">
        <v>535</v>
      </c>
      <c r="E18" s="73">
        <v>9942.2727272727261</v>
      </c>
      <c r="F18" s="74" t="s">
        <v>526</v>
      </c>
      <c r="G18" s="24" t="s">
        <v>295</v>
      </c>
      <c r="H18" s="18">
        <v>2019</v>
      </c>
      <c r="I18" s="133" t="s">
        <v>282</v>
      </c>
      <c r="J18" s="78" t="s">
        <v>564</v>
      </c>
      <c r="K18" s="71"/>
      <c r="L18" s="16">
        <v>25</v>
      </c>
      <c r="M18" s="16">
        <v>15</v>
      </c>
      <c r="N18" s="16">
        <v>5</v>
      </c>
      <c r="O18" s="16">
        <v>15</v>
      </c>
      <c r="P18" s="20">
        <f>L18+M18+N18+O18</f>
        <v>60</v>
      </c>
      <c r="Q18" s="23" t="str">
        <f>IF(P18&gt;=80,"✅ High Quality",IF(P18&gt;=60,"🟡 Acceptable",IF(P18&gt;=40,"⚠️ Use with Caution","🔴 Insufficient")))</f>
        <v>🟡 Acceptable</v>
      </c>
      <c r="R18" s="82"/>
    </row>
    <row r="19" spans="1:18" ht="46" customHeight="1" x14ac:dyDescent="0.2">
      <c r="A19" s="13"/>
      <c r="B19" s="13" t="s">
        <v>279</v>
      </c>
      <c r="C19" s="14" t="s">
        <v>293</v>
      </c>
      <c r="D19" s="15" t="s">
        <v>548</v>
      </c>
      <c r="E19" s="73">
        <v>10046</v>
      </c>
      <c r="F19" s="74" t="s">
        <v>296</v>
      </c>
      <c r="G19" s="17" t="s">
        <v>295</v>
      </c>
      <c r="H19" s="18">
        <v>2020</v>
      </c>
      <c r="I19" s="133" t="s">
        <v>282</v>
      </c>
      <c r="J19" s="78" t="s">
        <v>567</v>
      </c>
      <c r="K19" s="71"/>
      <c r="L19" s="16">
        <v>25</v>
      </c>
      <c r="M19" s="16">
        <v>15</v>
      </c>
      <c r="N19" s="16">
        <v>5</v>
      </c>
      <c r="O19" s="16">
        <v>15</v>
      </c>
      <c r="P19" s="20">
        <f>L19+M19+N19+O19</f>
        <v>60</v>
      </c>
      <c r="Q19" s="23" t="str">
        <f>IF(P19&gt;=80,"✅ High Quality",IF(P19&gt;=60,"🟡 Acceptable",IF(P19&gt;=40,"⚠️ Use with Caution","🔴 Insufficient")))</f>
        <v>🟡 Acceptable</v>
      </c>
      <c r="R19" s="82"/>
    </row>
    <row r="20" spans="1:18" ht="46" customHeight="1" x14ac:dyDescent="0.2">
      <c r="A20" s="13"/>
      <c r="B20" s="13" t="s">
        <v>279</v>
      </c>
      <c r="C20" s="22" t="s">
        <v>291</v>
      </c>
      <c r="D20" s="23" t="s">
        <v>535</v>
      </c>
      <c r="E20" s="73">
        <v>10055.454545454544</v>
      </c>
      <c r="F20" s="74" t="s">
        <v>526</v>
      </c>
      <c r="G20" s="24" t="s">
        <v>295</v>
      </c>
      <c r="H20" s="18">
        <v>2022</v>
      </c>
      <c r="I20" s="133" t="s">
        <v>282</v>
      </c>
      <c r="J20" s="78" t="s">
        <v>285</v>
      </c>
      <c r="K20" s="71"/>
      <c r="L20" s="16">
        <v>25</v>
      </c>
      <c r="M20" s="16">
        <v>15</v>
      </c>
      <c r="N20" s="16">
        <v>20</v>
      </c>
      <c r="O20" s="16">
        <v>15</v>
      </c>
      <c r="P20" s="20">
        <f>L20+M20+N20+O20</f>
        <v>75</v>
      </c>
      <c r="Q20" s="23" t="str">
        <f>IF(P20&gt;=80,"✅ High Quality",IF(P20&gt;=60,"🟡 Acceptable",IF(P20&gt;=40,"⚠️ Use with Caution","🔴 Insufficient")))</f>
        <v>🟡 Acceptable</v>
      </c>
      <c r="R20" s="82"/>
    </row>
    <row r="21" spans="1:18" ht="46" customHeight="1" x14ac:dyDescent="0.2">
      <c r="A21" s="13"/>
      <c r="B21" s="13" t="s">
        <v>279</v>
      </c>
      <c r="C21" s="22" t="s">
        <v>291</v>
      </c>
      <c r="D21" s="23" t="s">
        <v>535</v>
      </c>
      <c r="E21" s="73">
        <v>11753</v>
      </c>
      <c r="F21" s="74" t="s">
        <v>296</v>
      </c>
      <c r="G21" s="24" t="s">
        <v>295</v>
      </c>
      <c r="H21" s="18">
        <v>2024</v>
      </c>
      <c r="I21" s="133" t="s">
        <v>282</v>
      </c>
      <c r="J21" s="78" t="s">
        <v>564</v>
      </c>
      <c r="K21" s="71"/>
      <c r="L21" s="16">
        <v>25</v>
      </c>
      <c r="M21" s="16">
        <v>15</v>
      </c>
      <c r="N21" s="16">
        <v>25</v>
      </c>
      <c r="O21" s="16">
        <v>15</v>
      </c>
      <c r="P21" s="20">
        <f>L21+M21+N21+O21</f>
        <v>80</v>
      </c>
      <c r="Q21" s="23" t="str">
        <f>IF(P21&gt;=80,"✅ High Quality",IF(P21&gt;=60,"🟡 Acceptable",IF(P21&gt;=40,"⚠️ Use with Caution","🔴 Insufficient")))</f>
        <v>✅ High Quality</v>
      </c>
      <c r="R21" s="82"/>
    </row>
    <row r="22" spans="1:18" ht="46" customHeight="1" x14ac:dyDescent="0.2">
      <c r="A22" s="13"/>
      <c r="B22" s="13" t="s">
        <v>279</v>
      </c>
      <c r="C22" s="22" t="s">
        <v>291</v>
      </c>
      <c r="D22" s="23" t="s">
        <v>536</v>
      </c>
      <c r="E22" s="73">
        <v>12273.636363636364</v>
      </c>
      <c r="F22" s="74" t="s">
        <v>526</v>
      </c>
      <c r="G22" s="24" t="s">
        <v>295</v>
      </c>
      <c r="H22" s="18">
        <v>2024</v>
      </c>
      <c r="I22" s="133" t="s">
        <v>282</v>
      </c>
      <c r="J22" s="78" t="s">
        <v>564</v>
      </c>
      <c r="K22" s="71"/>
      <c r="L22" s="16">
        <v>25</v>
      </c>
      <c r="M22" s="16">
        <v>15</v>
      </c>
      <c r="N22" s="16">
        <v>25</v>
      </c>
      <c r="O22" s="16">
        <v>15</v>
      </c>
      <c r="P22" s="20">
        <f>L22+M22+N22+O22</f>
        <v>80</v>
      </c>
      <c r="Q22" s="23" t="str">
        <f>IF(P22&gt;=80,"✅ High Quality",IF(P22&gt;=60,"🟡 Acceptable",IF(P22&gt;=40,"⚠️ Use with Caution","🔴 Insufficient")))</f>
        <v>✅ High Quality</v>
      </c>
      <c r="R22" s="82"/>
    </row>
    <row r="23" spans="1:18" ht="46" customHeight="1" x14ac:dyDescent="0.2">
      <c r="A23" s="13"/>
      <c r="B23" s="13" t="s">
        <v>279</v>
      </c>
      <c r="C23" s="22" t="s">
        <v>291</v>
      </c>
      <c r="D23" s="23" t="s">
        <v>536</v>
      </c>
      <c r="E23" s="73">
        <v>12301.363636363634</v>
      </c>
      <c r="F23" s="74" t="s">
        <v>526</v>
      </c>
      <c r="G23" s="24" t="s">
        <v>295</v>
      </c>
      <c r="H23" s="18">
        <v>2020</v>
      </c>
      <c r="I23" s="133" t="s">
        <v>282</v>
      </c>
      <c r="J23" s="78" t="s">
        <v>287</v>
      </c>
      <c r="K23" s="71"/>
      <c r="L23" s="16">
        <v>25</v>
      </c>
      <c r="M23" s="16">
        <v>15</v>
      </c>
      <c r="N23" s="16">
        <v>5</v>
      </c>
      <c r="O23" s="16">
        <v>15</v>
      </c>
      <c r="P23" s="20">
        <f>L23+M23+N23+O23</f>
        <v>60</v>
      </c>
      <c r="Q23" s="23" t="str">
        <f>IF(P23&gt;=80,"✅ High Quality",IF(P23&gt;=60,"🟡 Acceptable",IF(P23&gt;=40,"⚠️ Use with Caution","🔴 Insufficient")))</f>
        <v>🟡 Acceptable</v>
      </c>
      <c r="R23" s="82"/>
    </row>
    <row r="24" spans="1:18" ht="46" customHeight="1" x14ac:dyDescent="0.2">
      <c r="A24" s="13"/>
      <c r="B24" s="13" t="s">
        <v>279</v>
      </c>
      <c r="C24" s="14" t="s">
        <v>293</v>
      </c>
      <c r="D24" s="15" t="s">
        <v>548</v>
      </c>
      <c r="E24" s="73">
        <v>12604</v>
      </c>
      <c r="F24" s="74" t="s">
        <v>296</v>
      </c>
      <c r="G24" s="17" t="s">
        <v>295</v>
      </c>
      <c r="H24" s="18">
        <v>2023</v>
      </c>
      <c r="I24" s="133" t="s">
        <v>282</v>
      </c>
      <c r="J24" s="78" t="s">
        <v>565</v>
      </c>
      <c r="K24" s="71"/>
      <c r="L24" s="16">
        <v>25</v>
      </c>
      <c r="M24" s="16">
        <v>15</v>
      </c>
      <c r="N24" s="16">
        <v>25</v>
      </c>
      <c r="O24" s="16">
        <v>15</v>
      </c>
      <c r="P24" s="20">
        <f>L24+M24+N24+O24</f>
        <v>80</v>
      </c>
      <c r="Q24" s="23" t="str">
        <f>IF(P24&gt;=80,"✅ High Quality",IF(P24&gt;=60,"🟡 Acceptable",IF(P24&gt;=40,"⚠️ Use with Caution","🔴 Insufficient")))</f>
        <v>✅ High Quality</v>
      </c>
      <c r="R24" s="82"/>
    </row>
    <row r="25" spans="1:18" ht="46" customHeight="1" x14ac:dyDescent="0.2">
      <c r="A25" s="13"/>
      <c r="B25" s="13" t="s">
        <v>279</v>
      </c>
      <c r="C25" s="14" t="s">
        <v>293</v>
      </c>
      <c r="D25" s="15" t="s">
        <v>548</v>
      </c>
      <c r="E25" s="73">
        <v>12815</v>
      </c>
      <c r="F25" s="74" t="s">
        <v>296</v>
      </c>
      <c r="G25" s="17" t="s">
        <v>295</v>
      </c>
      <c r="H25" s="18">
        <v>2022</v>
      </c>
      <c r="I25" s="133" t="s">
        <v>282</v>
      </c>
      <c r="J25" s="78" t="s">
        <v>566</v>
      </c>
      <c r="K25" s="71"/>
      <c r="L25" s="16">
        <v>25</v>
      </c>
      <c r="M25" s="16">
        <v>15</v>
      </c>
      <c r="N25" s="16">
        <v>20</v>
      </c>
      <c r="O25" s="16">
        <v>15</v>
      </c>
      <c r="P25" s="20">
        <f>L25+M25+N25+O25</f>
        <v>75</v>
      </c>
      <c r="Q25" s="23" t="str">
        <f>IF(P25&gt;=80,"✅ High Quality",IF(P25&gt;=60,"🟡 Acceptable",IF(P25&gt;=40,"⚠️ Use with Caution","🔴 Insufficient")))</f>
        <v>🟡 Acceptable</v>
      </c>
      <c r="R25" s="82"/>
    </row>
    <row r="26" spans="1:18" ht="46" customHeight="1" x14ac:dyDescent="0.2">
      <c r="A26" s="13"/>
      <c r="B26" s="13" t="s">
        <v>279</v>
      </c>
      <c r="C26" s="22" t="s">
        <v>291</v>
      </c>
      <c r="D26" s="23" t="s">
        <v>536</v>
      </c>
      <c r="E26" s="73">
        <v>12968.181818181816</v>
      </c>
      <c r="F26" s="74" t="s">
        <v>526</v>
      </c>
      <c r="G26" s="24" t="s">
        <v>295</v>
      </c>
      <c r="H26" s="18">
        <v>2019</v>
      </c>
      <c r="I26" s="133" t="s">
        <v>282</v>
      </c>
      <c r="J26" s="78" t="s">
        <v>564</v>
      </c>
      <c r="K26" s="71"/>
      <c r="L26" s="16">
        <v>25</v>
      </c>
      <c r="M26" s="16">
        <v>15</v>
      </c>
      <c r="N26" s="16">
        <v>5</v>
      </c>
      <c r="O26" s="16">
        <v>15</v>
      </c>
      <c r="P26" s="20">
        <f>L26+M26+N26+O26</f>
        <v>60</v>
      </c>
      <c r="Q26" s="23" t="str">
        <f>IF(P26&gt;=80,"✅ High Quality",IF(P26&gt;=60,"🟡 Acceptable",IF(P26&gt;=40,"⚠️ Use with Caution","🔴 Insufficient")))</f>
        <v>🟡 Acceptable</v>
      </c>
      <c r="R26" s="82"/>
    </row>
    <row r="27" spans="1:18" ht="46" customHeight="1" x14ac:dyDescent="0.2">
      <c r="A27" s="13"/>
      <c r="B27" s="13" t="s">
        <v>279</v>
      </c>
      <c r="C27" s="14" t="s">
        <v>293</v>
      </c>
      <c r="D27" s="15" t="s">
        <v>548</v>
      </c>
      <c r="E27" s="73">
        <v>13368</v>
      </c>
      <c r="F27" s="74" t="s">
        <v>296</v>
      </c>
      <c r="G27" s="17" t="s">
        <v>295</v>
      </c>
      <c r="H27" s="18">
        <v>2024</v>
      </c>
      <c r="I27" s="133" t="s">
        <v>282</v>
      </c>
      <c r="J27" s="78" t="s">
        <v>564</v>
      </c>
      <c r="K27" s="71"/>
      <c r="L27" s="16">
        <v>25</v>
      </c>
      <c r="M27" s="16">
        <v>15</v>
      </c>
      <c r="N27" s="16">
        <v>25</v>
      </c>
      <c r="O27" s="16">
        <v>15</v>
      </c>
      <c r="P27" s="20">
        <f>L27+M27+N27+O27</f>
        <v>80</v>
      </c>
      <c r="Q27" s="23" t="str">
        <f>IF(P27&gt;=80,"✅ High Quality",IF(P27&gt;=60,"🟡 Acceptable",IF(P27&gt;=40,"⚠️ Use with Caution","🔴 Insufficient")))</f>
        <v>✅ High Quality</v>
      </c>
      <c r="R27" s="82"/>
    </row>
    <row r="28" spans="1:18" ht="46" customHeight="1" x14ac:dyDescent="0.2">
      <c r="A28" s="13"/>
      <c r="B28" s="13" t="s">
        <v>279</v>
      </c>
      <c r="C28" s="22" t="s">
        <v>291</v>
      </c>
      <c r="D28" s="23" t="s">
        <v>536</v>
      </c>
      <c r="E28" s="73">
        <v>13513.181818181816</v>
      </c>
      <c r="F28" s="74" t="s">
        <v>526</v>
      </c>
      <c r="G28" s="24" t="s">
        <v>295</v>
      </c>
      <c r="H28" s="18">
        <v>2021</v>
      </c>
      <c r="I28" s="133" t="s">
        <v>282</v>
      </c>
      <c r="J28" s="78" t="s">
        <v>286</v>
      </c>
      <c r="K28" s="71"/>
      <c r="L28" s="16">
        <v>25</v>
      </c>
      <c r="M28" s="16">
        <v>15</v>
      </c>
      <c r="N28" s="16">
        <v>5</v>
      </c>
      <c r="O28" s="16">
        <v>15</v>
      </c>
      <c r="P28" s="20">
        <f>L28+M28+N28+O28</f>
        <v>60</v>
      </c>
      <c r="Q28" s="23" t="str">
        <f>IF(P28&gt;=80,"✅ High Quality",IF(P28&gt;=60,"🟡 Acceptable",IF(P28&gt;=40,"⚠️ Use with Caution","🔴 Insufficient")))</f>
        <v>🟡 Acceptable</v>
      </c>
      <c r="R28" s="82"/>
    </row>
    <row r="29" spans="1:18" ht="46" customHeight="1" x14ac:dyDescent="0.2">
      <c r="A29" s="13"/>
      <c r="B29" s="13" t="s">
        <v>279</v>
      </c>
      <c r="C29" s="22" t="s">
        <v>291</v>
      </c>
      <c r="D29" s="23" t="s">
        <v>536</v>
      </c>
      <c r="E29" s="73">
        <v>13523.181818181816</v>
      </c>
      <c r="F29" s="74" t="s">
        <v>526</v>
      </c>
      <c r="G29" s="24" t="s">
        <v>295</v>
      </c>
      <c r="H29" s="18">
        <v>2023</v>
      </c>
      <c r="I29" s="133" t="s">
        <v>282</v>
      </c>
      <c r="J29" s="78" t="s">
        <v>284</v>
      </c>
      <c r="K29" s="71"/>
      <c r="L29" s="16">
        <v>25</v>
      </c>
      <c r="M29" s="16">
        <v>15</v>
      </c>
      <c r="N29" s="16">
        <v>25</v>
      </c>
      <c r="O29" s="16">
        <v>15</v>
      </c>
      <c r="P29" s="20">
        <f>L29+M29+N29+O29</f>
        <v>80</v>
      </c>
      <c r="Q29" s="23" t="str">
        <f>IF(P29&gt;=80,"✅ High Quality",IF(P29&gt;=60,"🟡 Acceptable",IF(P29&gt;=40,"⚠️ Use with Caution","🔴 Insufficient")))</f>
        <v>✅ High Quality</v>
      </c>
      <c r="R29" s="82"/>
    </row>
    <row r="30" spans="1:18" ht="46" customHeight="1" x14ac:dyDescent="0.2">
      <c r="A30" s="13"/>
      <c r="B30" s="13" t="s">
        <v>279</v>
      </c>
      <c r="C30" s="14" t="s">
        <v>293</v>
      </c>
      <c r="D30" s="15" t="s">
        <v>542</v>
      </c>
      <c r="E30" s="73">
        <v>13604</v>
      </c>
      <c r="F30" s="74" t="s">
        <v>296</v>
      </c>
      <c r="G30" s="17" t="s">
        <v>295</v>
      </c>
      <c r="H30" s="18">
        <v>2019</v>
      </c>
      <c r="I30" s="133" t="s">
        <v>282</v>
      </c>
      <c r="J30" s="78" t="s">
        <v>568</v>
      </c>
      <c r="K30" s="71"/>
      <c r="L30" s="16">
        <v>25</v>
      </c>
      <c r="M30" s="16">
        <v>15</v>
      </c>
      <c r="N30" s="16">
        <v>5</v>
      </c>
      <c r="O30" s="16">
        <v>15</v>
      </c>
      <c r="P30" s="20">
        <f>L30+M30+N30+O30</f>
        <v>60</v>
      </c>
      <c r="Q30" s="23" t="str">
        <f>IF(P30&gt;=80,"✅ High Quality",IF(P30&gt;=60,"🟡 Acceptable",IF(P30&gt;=40,"⚠️ Use with Caution","🔴 Insufficient")))</f>
        <v>🟡 Acceptable</v>
      </c>
      <c r="R30" s="82"/>
    </row>
    <row r="31" spans="1:18" ht="46" customHeight="1" x14ac:dyDescent="0.2">
      <c r="A31" s="13"/>
      <c r="B31" s="13" t="s">
        <v>279</v>
      </c>
      <c r="C31" s="14" t="s">
        <v>293</v>
      </c>
      <c r="D31" s="15" t="s">
        <v>542</v>
      </c>
      <c r="E31" s="73">
        <v>14129</v>
      </c>
      <c r="F31" s="74" t="s">
        <v>296</v>
      </c>
      <c r="G31" s="17" t="s">
        <v>295</v>
      </c>
      <c r="H31" s="18">
        <v>2021</v>
      </c>
      <c r="I31" s="133" t="s">
        <v>282</v>
      </c>
      <c r="J31" s="78" t="s">
        <v>567</v>
      </c>
      <c r="K31" s="71"/>
      <c r="L31" s="16">
        <v>25</v>
      </c>
      <c r="M31" s="16">
        <v>15</v>
      </c>
      <c r="N31" s="16">
        <v>5</v>
      </c>
      <c r="O31" s="16">
        <v>15</v>
      </c>
      <c r="P31" s="20">
        <f>L31+M31+N31+O31</f>
        <v>60</v>
      </c>
      <c r="Q31" s="23" t="str">
        <f>IF(P31&gt;=80,"✅ High Quality",IF(P31&gt;=60,"🟡 Acceptable",IF(P31&gt;=40,"⚠️ Use with Caution","🔴 Insufficient")))</f>
        <v>🟡 Acceptable</v>
      </c>
      <c r="R31" s="82"/>
    </row>
    <row r="32" spans="1:18" ht="46" customHeight="1" x14ac:dyDescent="0.2">
      <c r="A32" s="13"/>
      <c r="B32" s="13" t="s">
        <v>279</v>
      </c>
      <c r="C32" s="22" t="s">
        <v>291</v>
      </c>
      <c r="D32" s="23" t="s">
        <v>535</v>
      </c>
      <c r="E32" s="73">
        <v>14297</v>
      </c>
      <c r="F32" s="74" t="s">
        <v>296</v>
      </c>
      <c r="G32" s="24" t="s">
        <v>295</v>
      </c>
      <c r="H32" s="18">
        <v>2022</v>
      </c>
      <c r="I32" s="133" t="s">
        <v>282</v>
      </c>
      <c r="J32" s="78" t="s">
        <v>566</v>
      </c>
      <c r="K32" s="71"/>
      <c r="L32" s="16">
        <v>25</v>
      </c>
      <c r="M32" s="16">
        <v>15</v>
      </c>
      <c r="N32" s="16">
        <v>20</v>
      </c>
      <c r="O32" s="16">
        <v>15</v>
      </c>
      <c r="P32" s="20">
        <f>L32+M32+N32+O32</f>
        <v>75</v>
      </c>
      <c r="Q32" s="23" t="str">
        <f>IF(P32&gt;=80,"✅ High Quality",IF(P32&gt;=60,"🟡 Acceptable",IF(P32&gt;=40,"⚠️ Use with Caution","🔴 Insufficient")))</f>
        <v>🟡 Acceptable</v>
      </c>
      <c r="R32" s="82"/>
    </row>
    <row r="33" spans="1:18" ht="46" customHeight="1" x14ac:dyDescent="0.2">
      <c r="A33" s="13"/>
      <c r="B33" s="13" t="s">
        <v>279</v>
      </c>
      <c r="C33" s="14" t="s">
        <v>293</v>
      </c>
      <c r="D33" s="15" t="s">
        <v>542</v>
      </c>
      <c r="E33" s="73">
        <v>14566</v>
      </c>
      <c r="F33" s="74" t="s">
        <v>296</v>
      </c>
      <c r="G33" s="17" t="s">
        <v>295</v>
      </c>
      <c r="H33" s="18">
        <v>2022</v>
      </c>
      <c r="I33" s="133" t="s">
        <v>282</v>
      </c>
      <c r="J33" s="78" t="s">
        <v>566</v>
      </c>
      <c r="K33" s="71"/>
      <c r="L33" s="16">
        <v>25</v>
      </c>
      <c r="M33" s="16">
        <v>15</v>
      </c>
      <c r="N33" s="16">
        <v>20</v>
      </c>
      <c r="O33" s="16">
        <v>15</v>
      </c>
      <c r="P33" s="20">
        <f>L33+M33+N33+O33</f>
        <v>75</v>
      </c>
      <c r="Q33" s="23" t="str">
        <f>IF(P33&gt;=80,"✅ High Quality",IF(P33&gt;=60,"🟡 Acceptable",IF(P33&gt;=40,"⚠️ Use with Caution","🔴 Insufficient")))</f>
        <v>🟡 Acceptable</v>
      </c>
      <c r="R33" s="82"/>
    </row>
    <row r="34" spans="1:18" ht="46" customHeight="1" x14ac:dyDescent="0.2">
      <c r="A34" s="13"/>
      <c r="B34" s="13" t="s">
        <v>279</v>
      </c>
      <c r="C34" s="22" t="s">
        <v>291</v>
      </c>
      <c r="D34" s="23" t="s">
        <v>535</v>
      </c>
      <c r="E34" s="73">
        <v>14644</v>
      </c>
      <c r="F34" s="74" t="s">
        <v>296</v>
      </c>
      <c r="G34" s="24" t="s">
        <v>295</v>
      </c>
      <c r="H34" s="18">
        <v>2023</v>
      </c>
      <c r="I34" s="133" t="s">
        <v>282</v>
      </c>
      <c r="J34" s="78" t="s">
        <v>565</v>
      </c>
      <c r="K34" s="71"/>
      <c r="L34" s="16">
        <v>25</v>
      </c>
      <c r="M34" s="16">
        <v>15</v>
      </c>
      <c r="N34" s="16">
        <v>25</v>
      </c>
      <c r="O34" s="16">
        <v>15</v>
      </c>
      <c r="P34" s="20">
        <f>L34+M34+N34+O34</f>
        <v>80</v>
      </c>
      <c r="Q34" s="23" t="str">
        <f>IF(P34&gt;=80,"✅ High Quality",IF(P34&gt;=60,"🟡 Acceptable",IF(P34&gt;=40,"⚠️ Use with Caution","🔴 Insufficient")))</f>
        <v>✅ High Quality</v>
      </c>
      <c r="R34" s="82"/>
    </row>
    <row r="35" spans="1:18" ht="46" customHeight="1" x14ac:dyDescent="0.2">
      <c r="A35" s="13"/>
      <c r="B35" s="13" t="s">
        <v>279</v>
      </c>
      <c r="C35" s="22" t="s">
        <v>291</v>
      </c>
      <c r="D35" s="23" t="s">
        <v>536</v>
      </c>
      <c r="E35" s="73">
        <v>14795.454545454544</v>
      </c>
      <c r="F35" s="74" t="s">
        <v>526</v>
      </c>
      <c r="G35" s="24" t="s">
        <v>295</v>
      </c>
      <c r="H35" s="18">
        <v>2022</v>
      </c>
      <c r="I35" s="133" t="s">
        <v>282</v>
      </c>
      <c r="J35" s="78" t="s">
        <v>285</v>
      </c>
      <c r="K35" s="71"/>
      <c r="L35" s="16">
        <v>25</v>
      </c>
      <c r="M35" s="16">
        <v>15</v>
      </c>
      <c r="N35" s="16">
        <v>20</v>
      </c>
      <c r="O35" s="16">
        <v>15</v>
      </c>
      <c r="P35" s="20">
        <f>L35+M35+N35+O35</f>
        <v>75</v>
      </c>
      <c r="Q35" s="23" t="str">
        <f>IF(P35&gt;=80,"✅ High Quality",IF(P35&gt;=60,"🟡 Acceptable",IF(P35&gt;=40,"⚠️ Use with Caution","🔴 Insufficient")))</f>
        <v>🟡 Acceptable</v>
      </c>
      <c r="R35" s="82"/>
    </row>
    <row r="36" spans="1:18" ht="46" customHeight="1" x14ac:dyDescent="0.2">
      <c r="A36" s="13"/>
      <c r="B36" s="13" t="s">
        <v>279</v>
      </c>
      <c r="C36" s="22" t="s">
        <v>291</v>
      </c>
      <c r="D36" s="23" t="s">
        <v>535</v>
      </c>
      <c r="E36" s="73">
        <v>14849</v>
      </c>
      <c r="F36" s="74" t="s">
        <v>296</v>
      </c>
      <c r="G36" s="24" t="s">
        <v>295</v>
      </c>
      <c r="H36" s="18">
        <v>2021</v>
      </c>
      <c r="I36" s="133" t="s">
        <v>282</v>
      </c>
      <c r="J36" s="78" t="s">
        <v>567</v>
      </c>
      <c r="K36" s="71"/>
      <c r="L36" s="16">
        <v>25</v>
      </c>
      <c r="M36" s="16">
        <v>15</v>
      </c>
      <c r="N36" s="16">
        <v>5</v>
      </c>
      <c r="O36" s="16">
        <v>15</v>
      </c>
      <c r="P36" s="20">
        <f>L36+M36+N36+O36</f>
        <v>60</v>
      </c>
      <c r="Q36" s="23" t="str">
        <f>IF(P36&gt;=80,"✅ High Quality",IF(P36&gt;=60,"🟡 Acceptable",IF(P36&gt;=40,"⚠️ Use with Caution","🔴 Insufficient")))</f>
        <v>🟡 Acceptable</v>
      </c>
      <c r="R36" s="82"/>
    </row>
    <row r="37" spans="1:18" ht="46" customHeight="1" x14ac:dyDescent="0.2">
      <c r="A37" s="13"/>
      <c r="B37" s="13" t="s">
        <v>279</v>
      </c>
      <c r="C37" s="22" t="s">
        <v>291</v>
      </c>
      <c r="D37" s="23" t="s">
        <v>535</v>
      </c>
      <c r="E37" s="73">
        <v>15399</v>
      </c>
      <c r="F37" s="74" t="s">
        <v>296</v>
      </c>
      <c r="G37" s="24" t="s">
        <v>295</v>
      </c>
      <c r="H37" s="18">
        <v>2020</v>
      </c>
      <c r="I37" s="133" t="s">
        <v>282</v>
      </c>
      <c r="J37" s="78" t="s">
        <v>567</v>
      </c>
      <c r="K37" s="71"/>
      <c r="L37" s="16">
        <v>25</v>
      </c>
      <c r="M37" s="16">
        <v>15</v>
      </c>
      <c r="N37" s="16">
        <v>5</v>
      </c>
      <c r="O37" s="16">
        <v>15</v>
      </c>
      <c r="P37" s="20">
        <f>L37+M37+N37+O37</f>
        <v>60</v>
      </c>
      <c r="Q37" s="23" t="str">
        <f>IF(P37&gt;=80,"✅ High Quality",IF(P37&gt;=60,"🟡 Acceptable",IF(P37&gt;=40,"⚠️ Use with Caution","🔴 Insufficient")))</f>
        <v>🟡 Acceptable</v>
      </c>
      <c r="R37" s="82"/>
    </row>
    <row r="38" spans="1:18" ht="46" customHeight="1" x14ac:dyDescent="0.2">
      <c r="A38" s="13"/>
      <c r="B38" s="13" t="s">
        <v>279</v>
      </c>
      <c r="C38" s="14" t="s">
        <v>293</v>
      </c>
      <c r="D38" s="15" t="s">
        <v>542</v>
      </c>
      <c r="E38" s="73">
        <v>17336</v>
      </c>
      <c r="F38" s="74" t="s">
        <v>296</v>
      </c>
      <c r="G38" s="17" t="s">
        <v>295</v>
      </c>
      <c r="H38" s="18">
        <v>2023</v>
      </c>
      <c r="I38" s="133" t="s">
        <v>282</v>
      </c>
      <c r="J38" s="78" t="s">
        <v>565</v>
      </c>
      <c r="K38" s="71"/>
      <c r="L38" s="16">
        <v>25</v>
      </c>
      <c r="M38" s="16">
        <v>15</v>
      </c>
      <c r="N38" s="16">
        <v>25</v>
      </c>
      <c r="O38" s="16">
        <v>15</v>
      </c>
      <c r="P38" s="20">
        <f>L38+M38+N38+O38</f>
        <v>80</v>
      </c>
      <c r="Q38" s="23" t="str">
        <f>IF(P38&gt;=80,"✅ High Quality",IF(P38&gt;=60,"🟡 Acceptable",IF(P38&gt;=40,"⚠️ Use with Caution","🔴 Insufficient")))</f>
        <v>✅ High Quality</v>
      </c>
      <c r="R38" s="82"/>
    </row>
    <row r="39" spans="1:18" ht="46" customHeight="1" x14ac:dyDescent="0.2">
      <c r="A39" s="13"/>
      <c r="B39" s="13" t="s">
        <v>279</v>
      </c>
      <c r="C39" s="22" t="s">
        <v>291</v>
      </c>
      <c r="D39" s="23" t="s">
        <v>535</v>
      </c>
      <c r="E39" s="73">
        <v>17449</v>
      </c>
      <c r="F39" s="74" t="s">
        <v>296</v>
      </c>
      <c r="G39" s="24" t="s">
        <v>295</v>
      </c>
      <c r="H39" s="18">
        <v>2019</v>
      </c>
      <c r="I39" s="133" t="s">
        <v>282</v>
      </c>
      <c r="J39" s="78" t="s">
        <v>568</v>
      </c>
      <c r="K39" s="71"/>
      <c r="L39" s="16">
        <v>25</v>
      </c>
      <c r="M39" s="16">
        <v>15</v>
      </c>
      <c r="N39" s="16">
        <v>5</v>
      </c>
      <c r="O39" s="16">
        <v>15</v>
      </c>
      <c r="P39" s="20">
        <f>L39+M39+N39+O39</f>
        <v>60</v>
      </c>
      <c r="Q39" s="23" t="str">
        <f>IF(P39&gt;=80,"✅ High Quality",IF(P39&gt;=60,"🟡 Acceptable",IF(P39&gt;=40,"⚠️ Use with Caution","🔴 Insufficient")))</f>
        <v>🟡 Acceptable</v>
      </c>
      <c r="R39" s="82"/>
    </row>
    <row r="40" spans="1:18" ht="46" customHeight="1" x14ac:dyDescent="0.2">
      <c r="A40" s="13"/>
      <c r="B40" s="13" t="s">
        <v>279</v>
      </c>
      <c r="C40" s="22" t="s">
        <v>280</v>
      </c>
      <c r="D40" s="23" t="s">
        <v>544</v>
      </c>
      <c r="E40" s="73">
        <v>19952</v>
      </c>
      <c r="F40" s="74" t="s">
        <v>526</v>
      </c>
      <c r="G40" s="24" t="s">
        <v>281</v>
      </c>
      <c r="H40" s="18">
        <v>2019</v>
      </c>
      <c r="I40" s="133" t="s">
        <v>282</v>
      </c>
      <c r="J40" s="78" t="s">
        <v>564</v>
      </c>
      <c r="K40" s="71"/>
      <c r="L40" s="16">
        <v>25</v>
      </c>
      <c r="M40" s="16">
        <v>15</v>
      </c>
      <c r="N40" s="16">
        <v>5</v>
      </c>
      <c r="O40" s="16">
        <v>15</v>
      </c>
      <c r="P40" s="20">
        <f>L40+M40+N40+O40</f>
        <v>60</v>
      </c>
      <c r="Q40" s="23" t="str">
        <f>IF(P40&gt;=80,"✅ High Quality",IF(P40&gt;=60,"🟡 Acceptable",IF(P40&gt;=40,"⚠️ Use with Caution","🔴 Insufficient")))</f>
        <v>🟡 Acceptable</v>
      </c>
      <c r="R40" s="82"/>
    </row>
    <row r="41" spans="1:18" ht="46" customHeight="1" x14ac:dyDescent="0.2">
      <c r="A41" s="13"/>
      <c r="B41" s="13" t="s">
        <v>279</v>
      </c>
      <c r="C41" s="22" t="s">
        <v>288</v>
      </c>
      <c r="D41" s="23" t="s">
        <v>543</v>
      </c>
      <c r="E41" s="73">
        <v>21571.944444444445</v>
      </c>
      <c r="F41" s="74" t="s">
        <v>296</v>
      </c>
      <c r="G41" s="24" t="s">
        <v>290</v>
      </c>
      <c r="H41" s="18">
        <v>2023</v>
      </c>
      <c r="I41" s="133" t="s">
        <v>282</v>
      </c>
      <c r="J41" s="78" t="s">
        <v>565</v>
      </c>
      <c r="K41" s="71"/>
      <c r="L41" s="16">
        <v>25</v>
      </c>
      <c r="M41" s="16">
        <v>15</v>
      </c>
      <c r="N41" s="16">
        <v>25</v>
      </c>
      <c r="O41" s="16">
        <v>15</v>
      </c>
      <c r="P41" s="20">
        <f>L41+M41+N41+O41</f>
        <v>80</v>
      </c>
      <c r="Q41" s="23" t="str">
        <f>IF(P41&gt;=80,"✅ High Quality",IF(P41&gt;=60,"🟡 Acceptable",IF(P41&gt;=40,"⚠️ Use with Caution","🔴 Insufficient")))</f>
        <v>✅ High Quality</v>
      </c>
      <c r="R41" s="82"/>
    </row>
    <row r="42" spans="1:18" ht="46" customHeight="1" x14ac:dyDescent="0.2">
      <c r="A42" s="13"/>
      <c r="B42" s="13" t="s">
        <v>279</v>
      </c>
      <c r="C42" s="22" t="s">
        <v>288</v>
      </c>
      <c r="D42" s="23" t="s">
        <v>543</v>
      </c>
      <c r="E42" s="73">
        <v>21626.111111111109</v>
      </c>
      <c r="F42" s="74" t="s">
        <v>296</v>
      </c>
      <c r="G42" s="24" t="s">
        <v>290</v>
      </c>
      <c r="H42" s="18">
        <v>2019</v>
      </c>
      <c r="I42" s="133" t="s">
        <v>282</v>
      </c>
      <c r="J42" s="78" t="s">
        <v>568</v>
      </c>
      <c r="K42" s="71"/>
      <c r="L42" s="16">
        <v>25</v>
      </c>
      <c r="M42" s="16">
        <v>15</v>
      </c>
      <c r="N42" s="16">
        <v>5</v>
      </c>
      <c r="O42" s="16">
        <v>15</v>
      </c>
      <c r="P42" s="20">
        <f>L42+M42+N42+O42</f>
        <v>60</v>
      </c>
      <c r="Q42" s="23" t="str">
        <f>IF(P42&gt;=80,"✅ High Quality",IF(P42&gt;=60,"🟡 Acceptable",IF(P42&gt;=40,"⚠️ Use with Caution","🔴 Insufficient")))</f>
        <v>🟡 Acceptable</v>
      </c>
      <c r="R42" s="82"/>
    </row>
    <row r="43" spans="1:18" ht="46" customHeight="1" x14ac:dyDescent="0.2">
      <c r="A43" s="13"/>
      <c r="B43" s="13" t="s">
        <v>279</v>
      </c>
      <c r="C43" s="22" t="s">
        <v>288</v>
      </c>
      <c r="D43" s="23" t="s">
        <v>543</v>
      </c>
      <c r="E43" s="73">
        <v>21673.055555555555</v>
      </c>
      <c r="F43" s="74" t="s">
        <v>296</v>
      </c>
      <c r="G43" s="24" t="s">
        <v>290</v>
      </c>
      <c r="H43" s="18">
        <v>2020</v>
      </c>
      <c r="I43" s="133" t="s">
        <v>282</v>
      </c>
      <c r="J43" s="78" t="s">
        <v>567</v>
      </c>
      <c r="K43" s="71"/>
      <c r="L43" s="16">
        <v>25</v>
      </c>
      <c r="M43" s="16">
        <v>15</v>
      </c>
      <c r="N43" s="16">
        <v>5</v>
      </c>
      <c r="O43" s="16">
        <v>15</v>
      </c>
      <c r="P43" s="20">
        <f>L43+M43+N43+O43</f>
        <v>60</v>
      </c>
      <c r="Q43" s="23" t="str">
        <f>IF(P43&gt;=80,"✅ High Quality",IF(P43&gt;=60,"🟡 Acceptable",IF(P43&gt;=40,"⚠️ Use with Caution","🔴 Insufficient")))</f>
        <v>🟡 Acceptable</v>
      </c>
      <c r="R43" s="82"/>
    </row>
    <row r="44" spans="1:18" ht="46" customHeight="1" x14ac:dyDescent="0.2">
      <c r="A44" s="13"/>
      <c r="B44" s="13" t="s">
        <v>279</v>
      </c>
      <c r="C44" s="22" t="s">
        <v>288</v>
      </c>
      <c r="D44" s="23" t="s">
        <v>543</v>
      </c>
      <c r="E44" s="73">
        <v>21725</v>
      </c>
      <c r="F44" s="74" t="s">
        <v>296</v>
      </c>
      <c r="G44" s="24" t="s">
        <v>290</v>
      </c>
      <c r="H44" s="18">
        <v>2021</v>
      </c>
      <c r="I44" s="133" t="s">
        <v>282</v>
      </c>
      <c r="J44" s="78" t="s">
        <v>567</v>
      </c>
      <c r="K44" s="71"/>
      <c r="L44" s="16">
        <v>25</v>
      </c>
      <c r="M44" s="16">
        <v>15</v>
      </c>
      <c r="N44" s="16">
        <v>5</v>
      </c>
      <c r="O44" s="16">
        <v>15</v>
      </c>
      <c r="P44" s="20">
        <f>L44+M44+N44+O44</f>
        <v>60</v>
      </c>
      <c r="Q44" s="23" t="str">
        <f>IF(P44&gt;=80,"✅ High Quality",IF(P44&gt;=60,"🟡 Acceptable",IF(P44&gt;=40,"⚠️ Use with Caution","🔴 Insufficient")))</f>
        <v>🟡 Acceptable</v>
      </c>
      <c r="R44" s="82"/>
    </row>
    <row r="45" spans="1:18" ht="46" customHeight="1" x14ac:dyDescent="0.2">
      <c r="A45" s="13"/>
      <c r="B45" s="13" t="s">
        <v>279</v>
      </c>
      <c r="C45" s="22" t="s">
        <v>288</v>
      </c>
      <c r="D45" s="23" t="s">
        <v>543</v>
      </c>
      <c r="E45" s="73">
        <v>21862.5</v>
      </c>
      <c r="F45" s="74" t="s">
        <v>296</v>
      </c>
      <c r="G45" s="24" t="s">
        <v>290</v>
      </c>
      <c r="H45" s="18">
        <v>2024</v>
      </c>
      <c r="I45" s="133" t="s">
        <v>282</v>
      </c>
      <c r="J45" s="78" t="s">
        <v>564</v>
      </c>
      <c r="K45" s="71"/>
      <c r="L45" s="16">
        <v>25</v>
      </c>
      <c r="M45" s="16">
        <v>15</v>
      </c>
      <c r="N45" s="16">
        <v>25</v>
      </c>
      <c r="O45" s="16">
        <v>15</v>
      </c>
      <c r="P45" s="20">
        <f>L45+M45+N45+O45</f>
        <v>80</v>
      </c>
      <c r="Q45" s="23" t="str">
        <f>IF(P45&gt;=80,"✅ High Quality",IF(P45&gt;=60,"🟡 Acceptable",IF(P45&gt;=40,"⚠️ Use with Caution","🔴 Insufficient")))</f>
        <v>✅ High Quality</v>
      </c>
      <c r="R45" s="82"/>
    </row>
    <row r="46" spans="1:18" ht="46" customHeight="1" x14ac:dyDescent="0.2">
      <c r="A46" s="13"/>
      <c r="B46" s="13" t="s">
        <v>279</v>
      </c>
      <c r="C46" s="22" t="s">
        <v>288</v>
      </c>
      <c r="D46" s="23" t="s">
        <v>543</v>
      </c>
      <c r="E46" s="73">
        <v>22163.055555555555</v>
      </c>
      <c r="F46" s="74" t="s">
        <v>296</v>
      </c>
      <c r="G46" s="24" t="s">
        <v>290</v>
      </c>
      <c r="H46" s="18">
        <v>2022</v>
      </c>
      <c r="I46" s="133" t="s">
        <v>282</v>
      </c>
      <c r="J46" s="78" t="s">
        <v>566</v>
      </c>
      <c r="K46" s="71"/>
      <c r="L46" s="16">
        <v>25</v>
      </c>
      <c r="M46" s="16">
        <v>15</v>
      </c>
      <c r="N46" s="16">
        <v>20</v>
      </c>
      <c r="O46" s="16">
        <v>15</v>
      </c>
      <c r="P46" s="20">
        <f>L46+M46+N46+O46</f>
        <v>75</v>
      </c>
      <c r="Q46" s="23" t="str">
        <f>IF(P46&gt;=80,"✅ High Quality",IF(P46&gt;=60,"🟡 Acceptable",IF(P46&gt;=40,"⚠️ Use with Caution","🔴 Insufficient")))</f>
        <v>🟡 Acceptable</v>
      </c>
      <c r="R46" s="82"/>
    </row>
    <row r="47" spans="1:18" ht="46" customHeight="1" x14ac:dyDescent="0.2">
      <c r="A47" s="13"/>
      <c r="B47" s="13" t="s">
        <v>279</v>
      </c>
      <c r="C47" s="14" t="s">
        <v>293</v>
      </c>
      <c r="D47" s="15" t="s">
        <v>542</v>
      </c>
      <c r="E47" s="73">
        <v>23786</v>
      </c>
      <c r="F47" s="74" t="s">
        <v>296</v>
      </c>
      <c r="G47" s="17" t="s">
        <v>295</v>
      </c>
      <c r="H47" s="18">
        <v>2024</v>
      </c>
      <c r="I47" s="133" t="s">
        <v>282</v>
      </c>
      <c r="J47" s="78" t="s">
        <v>564</v>
      </c>
      <c r="K47" s="71"/>
      <c r="L47" s="16">
        <v>25</v>
      </c>
      <c r="M47" s="16">
        <v>15</v>
      </c>
      <c r="N47" s="16">
        <v>25</v>
      </c>
      <c r="O47" s="16">
        <v>15</v>
      </c>
      <c r="P47" s="20">
        <f>L47+M47+N47+O47</f>
        <v>80</v>
      </c>
      <c r="Q47" s="23" t="str">
        <f>IF(P47&gt;=80,"✅ High Quality",IF(P47&gt;=60,"🟡 Acceptable",IF(P47&gt;=40,"⚠️ Use with Caution","🔴 Insufficient")))</f>
        <v>✅ High Quality</v>
      </c>
      <c r="R47" s="82"/>
    </row>
    <row r="48" spans="1:18" ht="46" customHeight="1" x14ac:dyDescent="0.2">
      <c r="A48" s="13"/>
      <c r="B48" s="13" t="s">
        <v>279</v>
      </c>
      <c r="C48" s="22" t="s">
        <v>288</v>
      </c>
      <c r="D48" s="23" t="s">
        <v>543</v>
      </c>
      <c r="E48" s="73">
        <v>30593.694327000001</v>
      </c>
      <c r="F48" s="74" t="s">
        <v>526</v>
      </c>
      <c r="G48" s="24" t="s">
        <v>290</v>
      </c>
      <c r="H48" s="18">
        <v>2024</v>
      </c>
      <c r="I48" s="133" t="s">
        <v>282</v>
      </c>
      <c r="J48" s="78" t="s">
        <v>564</v>
      </c>
      <c r="K48" s="71"/>
      <c r="L48" s="16">
        <v>25</v>
      </c>
      <c r="M48" s="16">
        <v>15</v>
      </c>
      <c r="N48" s="16">
        <v>25</v>
      </c>
      <c r="O48" s="16">
        <v>15</v>
      </c>
      <c r="P48" s="20">
        <f>L48+M48+N48+O48</f>
        <v>80</v>
      </c>
      <c r="Q48" s="23" t="str">
        <f>IF(P48&gt;=80,"✅ High Quality",IF(P48&gt;=60,"🟡 Acceptable",IF(P48&gt;=40,"⚠️ Use with Caution","🔴 Insufficient")))</f>
        <v>✅ High Quality</v>
      </c>
      <c r="R48" s="82"/>
    </row>
    <row r="49" spans="1:18" ht="46" customHeight="1" x14ac:dyDescent="0.2">
      <c r="A49" s="13"/>
      <c r="B49" s="13" t="s">
        <v>279</v>
      </c>
      <c r="C49" s="22" t="s">
        <v>288</v>
      </c>
      <c r="D49" s="23" t="s">
        <v>543</v>
      </c>
      <c r="E49" s="73">
        <v>31001.889914000003</v>
      </c>
      <c r="F49" s="74" t="s">
        <v>526</v>
      </c>
      <c r="G49" s="24" t="s">
        <v>290</v>
      </c>
      <c r="H49" s="18">
        <v>2020</v>
      </c>
      <c r="I49" s="133" t="s">
        <v>282</v>
      </c>
      <c r="J49" s="78" t="s">
        <v>287</v>
      </c>
      <c r="K49" s="71"/>
      <c r="L49" s="16">
        <v>25</v>
      </c>
      <c r="M49" s="16">
        <v>15</v>
      </c>
      <c r="N49" s="16">
        <v>5</v>
      </c>
      <c r="O49" s="16">
        <v>15</v>
      </c>
      <c r="P49" s="20">
        <f>L49+M49+N49+O49</f>
        <v>60</v>
      </c>
      <c r="Q49" s="23" t="str">
        <f>IF(P49&gt;=80,"✅ High Quality",IF(P49&gt;=60,"🟡 Acceptable",IF(P49&gt;=40,"⚠️ Use with Caution","🔴 Insufficient")))</f>
        <v>🟡 Acceptable</v>
      </c>
      <c r="R49" s="82"/>
    </row>
    <row r="50" spans="1:18" ht="46" customHeight="1" x14ac:dyDescent="0.2">
      <c r="A50" s="13"/>
      <c r="B50" s="13" t="s">
        <v>279</v>
      </c>
      <c r="C50" s="22" t="s">
        <v>288</v>
      </c>
      <c r="D50" s="23" t="s">
        <v>543</v>
      </c>
      <c r="E50" s="73">
        <v>31799.931963000003</v>
      </c>
      <c r="F50" s="74" t="s">
        <v>526</v>
      </c>
      <c r="G50" s="24" t="s">
        <v>290</v>
      </c>
      <c r="H50" s="18">
        <v>2023</v>
      </c>
      <c r="I50" s="133" t="s">
        <v>282</v>
      </c>
      <c r="J50" s="78" t="s">
        <v>284</v>
      </c>
      <c r="K50" s="71"/>
      <c r="L50" s="16">
        <v>25</v>
      </c>
      <c r="M50" s="16">
        <v>15</v>
      </c>
      <c r="N50" s="16">
        <v>25</v>
      </c>
      <c r="O50" s="16">
        <v>15</v>
      </c>
      <c r="P50" s="20">
        <f>L50+M50+N50+O50</f>
        <v>80</v>
      </c>
      <c r="Q50" s="23" t="str">
        <f>IF(P50&gt;=80,"✅ High Quality",IF(P50&gt;=60,"🟡 Acceptable",IF(P50&gt;=40,"⚠️ Use with Caution","🔴 Insufficient")))</f>
        <v>✅ High Quality</v>
      </c>
      <c r="R50" s="82"/>
    </row>
    <row r="51" spans="1:18" ht="46" customHeight="1" x14ac:dyDescent="0.2">
      <c r="A51" s="13"/>
      <c r="B51" s="13" t="s">
        <v>279</v>
      </c>
      <c r="C51" s="22" t="s">
        <v>288</v>
      </c>
      <c r="D51" s="23" t="s">
        <v>543</v>
      </c>
      <c r="E51" s="73">
        <v>32025.737980000002</v>
      </c>
      <c r="F51" s="74" t="s">
        <v>526</v>
      </c>
      <c r="G51" s="24" t="s">
        <v>290</v>
      </c>
      <c r="H51" s="18">
        <v>2019</v>
      </c>
      <c r="I51" s="133" t="s">
        <v>282</v>
      </c>
      <c r="J51" s="78" t="s">
        <v>564</v>
      </c>
      <c r="K51" s="71"/>
      <c r="L51" s="16">
        <v>25</v>
      </c>
      <c r="M51" s="16">
        <v>15</v>
      </c>
      <c r="N51" s="16">
        <v>5</v>
      </c>
      <c r="O51" s="16">
        <v>15</v>
      </c>
      <c r="P51" s="20">
        <f>L51+M51+N51+O51</f>
        <v>60</v>
      </c>
      <c r="Q51" s="23" t="str">
        <f>IF(P51&gt;=80,"✅ High Quality",IF(P51&gt;=60,"🟡 Acceptable",IF(P51&gt;=40,"⚠️ Use with Caution","🔴 Insufficient")))</f>
        <v>🟡 Acceptable</v>
      </c>
      <c r="R51" s="82"/>
    </row>
    <row r="52" spans="1:18" ht="46" customHeight="1" x14ac:dyDescent="0.2">
      <c r="A52" s="13"/>
      <c r="B52" s="13" t="s">
        <v>279</v>
      </c>
      <c r="C52" s="22" t="s">
        <v>288</v>
      </c>
      <c r="D52" s="23" t="s">
        <v>543</v>
      </c>
      <c r="E52" s="73">
        <v>33329.597063000001</v>
      </c>
      <c r="F52" s="74" t="s">
        <v>526</v>
      </c>
      <c r="G52" s="24" t="s">
        <v>290</v>
      </c>
      <c r="H52" s="18">
        <v>2022</v>
      </c>
      <c r="I52" s="133" t="s">
        <v>282</v>
      </c>
      <c r="J52" s="78" t="s">
        <v>285</v>
      </c>
      <c r="K52" s="71"/>
      <c r="L52" s="16">
        <v>25</v>
      </c>
      <c r="M52" s="16">
        <v>15</v>
      </c>
      <c r="N52" s="16">
        <v>20</v>
      </c>
      <c r="O52" s="16">
        <v>15</v>
      </c>
      <c r="P52" s="20">
        <f>L52+M52+N52+O52</f>
        <v>75</v>
      </c>
      <c r="Q52" s="23" t="str">
        <f>IF(P52&gt;=80,"✅ High Quality",IF(P52&gt;=60,"🟡 Acceptable",IF(P52&gt;=40,"⚠️ Use with Caution","🔴 Insufficient")))</f>
        <v>🟡 Acceptable</v>
      </c>
      <c r="R52" s="82"/>
    </row>
    <row r="53" spans="1:18" ht="46" customHeight="1" x14ac:dyDescent="0.2">
      <c r="A53" s="13"/>
      <c r="B53" s="13" t="s">
        <v>279</v>
      </c>
      <c r="C53" s="22" t="s">
        <v>288</v>
      </c>
      <c r="D53" s="23" t="s">
        <v>543</v>
      </c>
      <c r="E53" s="73">
        <v>34113.370598000001</v>
      </c>
      <c r="F53" s="74" t="s">
        <v>526</v>
      </c>
      <c r="G53" s="24" t="s">
        <v>290</v>
      </c>
      <c r="H53" s="18">
        <v>2021</v>
      </c>
      <c r="I53" s="133" t="s">
        <v>282</v>
      </c>
      <c r="J53" s="78" t="s">
        <v>286</v>
      </c>
      <c r="K53" s="71"/>
      <c r="L53" s="16">
        <v>25</v>
      </c>
      <c r="M53" s="16">
        <v>15</v>
      </c>
      <c r="N53" s="16">
        <v>5</v>
      </c>
      <c r="O53" s="16">
        <v>15</v>
      </c>
      <c r="P53" s="20">
        <f>L53+M53+N53+O53</f>
        <v>60</v>
      </c>
      <c r="Q53" s="23" t="str">
        <f>IF(P53&gt;=80,"✅ High Quality",IF(P53&gt;=60,"🟡 Acceptable",IF(P53&gt;=40,"⚠️ Use with Caution","🔴 Insufficient")))</f>
        <v>🟡 Acceptable</v>
      </c>
      <c r="R53" s="82"/>
    </row>
    <row r="54" spans="1:18" ht="46" customHeight="1" x14ac:dyDescent="0.2">
      <c r="A54" s="13"/>
      <c r="B54" s="13" t="s">
        <v>279</v>
      </c>
      <c r="C54" s="22" t="s">
        <v>291</v>
      </c>
      <c r="D54" s="23" t="s">
        <v>536</v>
      </c>
      <c r="E54" s="73">
        <v>34856</v>
      </c>
      <c r="F54" s="74" t="s">
        <v>296</v>
      </c>
      <c r="G54" s="24" t="s">
        <v>295</v>
      </c>
      <c r="H54" s="18">
        <v>2024</v>
      </c>
      <c r="I54" s="133" t="s">
        <v>282</v>
      </c>
      <c r="J54" s="78" t="s">
        <v>564</v>
      </c>
      <c r="K54" s="71"/>
      <c r="L54" s="16">
        <v>25</v>
      </c>
      <c r="M54" s="16">
        <v>15</v>
      </c>
      <c r="N54" s="16">
        <v>25</v>
      </c>
      <c r="O54" s="16">
        <v>15</v>
      </c>
      <c r="P54" s="20">
        <f>L54+M54+N54+O54</f>
        <v>80</v>
      </c>
      <c r="Q54" s="23" t="str">
        <f>IF(P54&gt;=80,"✅ High Quality",IF(P54&gt;=60,"🟡 Acceptable",IF(P54&gt;=40,"⚠️ Use with Caution","🔴 Insufficient")))</f>
        <v>✅ High Quality</v>
      </c>
      <c r="R54" s="82"/>
    </row>
    <row r="55" spans="1:18" ht="46" customHeight="1" x14ac:dyDescent="0.2">
      <c r="A55" s="13"/>
      <c r="B55" s="13" t="s">
        <v>279</v>
      </c>
      <c r="C55" s="22" t="s">
        <v>291</v>
      </c>
      <c r="D55" s="23" t="s">
        <v>536</v>
      </c>
      <c r="E55" s="73">
        <v>39500</v>
      </c>
      <c r="F55" s="74" t="s">
        <v>296</v>
      </c>
      <c r="G55" s="24" t="s">
        <v>295</v>
      </c>
      <c r="H55" s="18">
        <v>2023</v>
      </c>
      <c r="I55" s="133" t="s">
        <v>282</v>
      </c>
      <c r="J55" s="78" t="s">
        <v>565</v>
      </c>
      <c r="K55" s="71"/>
      <c r="L55" s="16">
        <v>25</v>
      </c>
      <c r="M55" s="16">
        <v>15</v>
      </c>
      <c r="N55" s="16">
        <v>25</v>
      </c>
      <c r="O55" s="16">
        <v>15</v>
      </c>
      <c r="P55" s="20">
        <f>L55+M55+N55+O55</f>
        <v>80</v>
      </c>
      <c r="Q55" s="23" t="str">
        <f>IF(P55&gt;=80,"✅ High Quality",IF(P55&gt;=60,"🟡 Acceptable",IF(P55&gt;=40,"⚠️ Use with Caution","🔴 Insufficient")))</f>
        <v>✅ High Quality</v>
      </c>
      <c r="R55" s="82"/>
    </row>
    <row r="56" spans="1:18" ht="46" customHeight="1" x14ac:dyDescent="0.2">
      <c r="A56" s="13"/>
      <c r="B56" s="13" t="s">
        <v>279</v>
      </c>
      <c r="C56" s="22" t="s">
        <v>291</v>
      </c>
      <c r="D56" s="23" t="s">
        <v>536</v>
      </c>
      <c r="E56" s="73">
        <v>40100</v>
      </c>
      <c r="F56" s="74" t="s">
        <v>296</v>
      </c>
      <c r="G56" s="24" t="s">
        <v>295</v>
      </c>
      <c r="H56" s="18">
        <v>2020</v>
      </c>
      <c r="I56" s="133" t="s">
        <v>282</v>
      </c>
      <c r="J56" s="78" t="s">
        <v>567</v>
      </c>
      <c r="K56" s="71"/>
      <c r="L56" s="16">
        <v>25</v>
      </c>
      <c r="M56" s="16">
        <v>15</v>
      </c>
      <c r="N56" s="16">
        <v>5</v>
      </c>
      <c r="O56" s="16">
        <v>15</v>
      </c>
      <c r="P56" s="20">
        <f>L56+M56+N56+O56</f>
        <v>60</v>
      </c>
      <c r="Q56" s="23" t="str">
        <f>IF(P56&gt;=80,"✅ High Quality",IF(P56&gt;=60,"🟡 Acceptable",IF(P56&gt;=40,"⚠️ Use with Caution","🔴 Insufficient")))</f>
        <v>🟡 Acceptable</v>
      </c>
      <c r="R56" s="82"/>
    </row>
    <row r="57" spans="1:18" ht="46" customHeight="1" x14ac:dyDescent="0.2">
      <c r="A57" s="13"/>
      <c r="B57" s="13" t="s">
        <v>279</v>
      </c>
      <c r="C57" s="22" t="s">
        <v>291</v>
      </c>
      <c r="D57" s="23" t="s">
        <v>536</v>
      </c>
      <c r="E57" s="73">
        <v>41398</v>
      </c>
      <c r="F57" s="74" t="s">
        <v>296</v>
      </c>
      <c r="G57" s="24" t="s">
        <v>295</v>
      </c>
      <c r="H57" s="18">
        <v>2021</v>
      </c>
      <c r="I57" s="133" t="s">
        <v>282</v>
      </c>
      <c r="J57" s="78" t="s">
        <v>567</v>
      </c>
      <c r="K57" s="71"/>
      <c r="L57" s="16">
        <v>25</v>
      </c>
      <c r="M57" s="16">
        <v>15</v>
      </c>
      <c r="N57" s="16">
        <v>5</v>
      </c>
      <c r="O57" s="16">
        <v>15</v>
      </c>
      <c r="P57" s="20">
        <f>L57+M57+N57+O57</f>
        <v>60</v>
      </c>
      <c r="Q57" s="23" t="str">
        <f>IF(P57&gt;=80,"✅ High Quality",IF(P57&gt;=60,"🟡 Acceptable",IF(P57&gt;=40,"⚠️ Use with Caution","🔴 Insufficient")))</f>
        <v>🟡 Acceptable</v>
      </c>
      <c r="R57" s="82"/>
    </row>
    <row r="58" spans="1:18" ht="46" customHeight="1" x14ac:dyDescent="0.2">
      <c r="A58" s="13"/>
      <c r="B58" s="13" t="s">
        <v>279</v>
      </c>
      <c r="C58" s="22" t="s">
        <v>291</v>
      </c>
      <c r="D58" s="23" t="s">
        <v>536</v>
      </c>
      <c r="E58" s="73">
        <v>41750</v>
      </c>
      <c r="F58" s="74" t="s">
        <v>296</v>
      </c>
      <c r="G58" s="24" t="s">
        <v>295</v>
      </c>
      <c r="H58" s="18">
        <v>2022</v>
      </c>
      <c r="I58" s="133" t="s">
        <v>282</v>
      </c>
      <c r="J58" s="78" t="s">
        <v>566</v>
      </c>
      <c r="K58" s="71"/>
      <c r="L58" s="16">
        <v>25</v>
      </c>
      <c r="M58" s="16">
        <v>15</v>
      </c>
      <c r="N58" s="16">
        <v>20</v>
      </c>
      <c r="O58" s="16">
        <v>15</v>
      </c>
      <c r="P58" s="20">
        <f>L58+M58+N58+O58</f>
        <v>75</v>
      </c>
      <c r="Q58" s="23" t="str">
        <f>IF(P58&gt;=80,"✅ High Quality",IF(P58&gt;=60,"🟡 Acceptable",IF(P58&gt;=40,"⚠️ Use with Caution","🔴 Insufficient")))</f>
        <v>🟡 Acceptable</v>
      </c>
      <c r="R58" s="82"/>
    </row>
    <row r="59" spans="1:18" ht="46" customHeight="1" x14ac:dyDescent="0.2">
      <c r="A59" s="13"/>
      <c r="B59" s="13" t="s">
        <v>279</v>
      </c>
      <c r="C59" s="22" t="s">
        <v>291</v>
      </c>
      <c r="D59" s="23" t="s">
        <v>536</v>
      </c>
      <c r="E59" s="73">
        <v>42015</v>
      </c>
      <c r="F59" s="74" t="s">
        <v>296</v>
      </c>
      <c r="G59" s="24" t="s">
        <v>295</v>
      </c>
      <c r="H59" s="18">
        <v>2019</v>
      </c>
      <c r="I59" s="133" t="s">
        <v>282</v>
      </c>
      <c r="J59" s="78" t="s">
        <v>568</v>
      </c>
      <c r="K59" s="71"/>
      <c r="L59" s="16">
        <v>25</v>
      </c>
      <c r="M59" s="16">
        <v>15</v>
      </c>
      <c r="N59" s="16">
        <v>5</v>
      </c>
      <c r="O59" s="16">
        <v>15</v>
      </c>
      <c r="P59" s="20">
        <f>L59+M59+N59+O59</f>
        <v>60</v>
      </c>
      <c r="Q59" s="23" t="str">
        <f>IF(P59&gt;=80,"✅ High Quality",IF(P59&gt;=60,"🟡 Acceptable",IF(P59&gt;=40,"⚠️ Use with Caution","🔴 Insufficient")))</f>
        <v>🟡 Acceptable</v>
      </c>
      <c r="R59" s="82"/>
    </row>
    <row r="60" spans="1:18" ht="46" customHeight="1" x14ac:dyDescent="0.2">
      <c r="A60" s="13"/>
      <c r="B60" s="13" t="s">
        <v>279</v>
      </c>
      <c r="C60" s="14" t="s">
        <v>288</v>
      </c>
      <c r="D60" s="23" t="s">
        <v>530</v>
      </c>
      <c r="E60" s="73">
        <v>46629.073502879997</v>
      </c>
      <c r="F60" s="74" t="s">
        <v>526</v>
      </c>
      <c r="G60" s="24" t="s">
        <v>290</v>
      </c>
      <c r="H60" s="18">
        <v>2024</v>
      </c>
      <c r="I60" s="133" t="s">
        <v>282</v>
      </c>
      <c r="J60" s="78" t="s">
        <v>564</v>
      </c>
      <c r="K60" s="71"/>
      <c r="L60" s="16">
        <v>25</v>
      </c>
      <c r="M60" s="16">
        <v>15</v>
      </c>
      <c r="N60" s="16">
        <v>25</v>
      </c>
      <c r="O60" s="16">
        <v>15</v>
      </c>
      <c r="P60" s="20">
        <f>L60+M60+N60+O60</f>
        <v>80</v>
      </c>
      <c r="Q60" s="15" t="str">
        <f>IF(P60&gt;=80,"✅ High Quality",IF(P60&gt;=60,"🟡 Acceptable",IF(P60&gt;=40,"⚠️ Use with Caution","🔴 Insufficient")))</f>
        <v>✅ High Quality</v>
      </c>
      <c r="R60" s="82"/>
    </row>
    <row r="61" spans="1:18" ht="46" customHeight="1" x14ac:dyDescent="0.2">
      <c r="A61" s="13"/>
      <c r="B61" s="13" t="s">
        <v>279</v>
      </c>
      <c r="C61" s="14" t="s">
        <v>288</v>
      </c>
      <c r="D61" s="23" t="s">
        <v>530</v>
      </c>
      <c r="E61" s="73">
        <v>48804.06114939</v>
      </c>
      <c r="F61" s="74" t="s">
        <v>526</v>
      </c>
      <c r="G61" s="24" t="s">
        <v>290</v>
      </c>
      <c r="H61" s="18">
        <v>2023</v>
      </c>
      <c r="I61" s="133" t="s">
        <v>282</v>
      </c>
      <c r="J61" s="78" t="s">
        <v>284</v>
      </c>
      <c r="K61" s="71"/>
      <c r="L61" s="16">
        <v>25</v>
      </c>
      <c r="M61" s="16">
        <v>15</v>
      </c>
      <c r="N61" s="16">
        <v>25</v>
      </c>
      <c r="O61" s="16">
        <v>15</v>
      </c>
      <c r="P61" s="20">
        <f>L61+M61+N61+O61</f>
        <v>80</v>
      </c>
      <c r="Q61" s="15" t="str">
        <f>IF(P61&gt;=80,"✅ High Quality",IF(P61&gt;=60,"🟡 Acceptable",IF(P61&gt;=40,"⚠️ Use with Caution","🔴 Insufficient")))</f>
        <v>✅ High Quality</v>
      </c>
      <c r="R61" s="82"/>
    </row>
    <row r="62" spans="1:18" ht="46" customHeight="1" x14ac:dyDescent="0.2">
      <c r="A62" s="13"/>
      <c r="B62" s="13" t="s">
        <v>279</v>
      </c>
      <c r="C62" s="14" t="s">
        <v>288</v>
      </c>
      <c r="D62" s="23" t="s">
        <v>530</v>
      </c>
      <c r="E62" s="73">
        <v>54927.000627299996</v>
      </c>
      <c r="F62" s="74" t="s">
        <v>526</v>
      </c>
      <c r="G62" s="24" t="s">
        <v>290</v>
      </c>
      <c r="H62" s="18">
        <v>2022</v>
      </c>
      <c r="I62" s="133" t="s">
        <v>282</v>
      </c>
      <c r="J62" s="78" t="s">
        <v>285</v>
      </c>
      <c r="K62" s="71"/>
      <c r="L62" s="16">
        <v>25</v>
      </c>
      <c r="M62" s="16">
        <v>15</v>
      </c>
      <c r="N62" s="16">
        <v>20</v>
      </c>
      <c r="O62" s="16">
        <v>15</v>
      </c>
      <c r="P62" s="20">
        <f>L62+M62+N62+O62</f>
        <v>75</v>
      </c>
      <c r="Q62" s="15" t="str">
        <f>IF(P62&gt;=80,"✅ High Quality",IF(P62&gt;=60,"🟡 Acceptable",IF(P62&gt;=40,"⚠️ Use with Caution","🔴 Insufficient")))</f>
        <v>🟡 Acceptable</v>
      </c>
      <c r="R62" s="82"/>
    </row>
    <row r="63" spans="1:18" ht="46" customHeight="1" x14ac:dyDescent="0.2">
      <c r="A63" s="13"/>
      <c r="B63" s="13" t="s">
        <v>279</v>
      </c>
      <c r="C63" s="14" t="s">
        <v>288</v>
      </c>
      <c r="D63" s="23" t="s">
        <v>530</v>
      </c>
      <c r="E63" s="73">
        <v>57458.68054704</v>
      </c>
      <c r="F63" s="74" t="s">
        <v>526</v>
      </c>
      <c r="G63" s="24" t="s">
        <v>290</v>
      </c>
      <c r="H63" s="18">
        <v>2021</v>
      </c>
      <c r="I63" s="133" t="s">
        <v>282</v>
      </c>
      <c r="J63" s="78" t="s">
        <v>286</v>
      </c>
      <c r="K63" s="71"/>
      <c r="L63" s="16">
        <v>25</v>
      </c>
      <c r="M63" s="16">
        <v>15</v>
      </c>
      <c r="N63" s="16">
        <v>5</v>
      </c>
      <c r="O63" s="16">
        <v>15</v>
      </c>
      <c r="P63" s="20">
        <f>L63+M63+N63+O63</f>
        <v>60</v>
      </c>
      <c r="Q63" s="15" t="str">
        <f>IF(P63&gt;=80,"✅ High Quality",IF(P63&gt;=60,"🟡 Acceptable",IF(P63&gt;=40,"⚠️ Use with Caution","🔴 Insufficient")))</f>
        <v>🟡 Acceptable</v>
      </c>
      <c r="R63" s="82"/>
    </row>
    <row r="64" spans="1:18" ht="46" customHeight="1" x14ac:dyDescent="0.2">
      <c r="A64" s="13"/>
      <c r="B64" s="13" t="s">
        <v>279</v>
      </c>
      <c r="C64" s="14" t="s">
        <v>288</v>
      </c>
      <c r="D64" s="23" t="s">
        <v>530</v>
      </c>
      <c r="E64" s="73">
        <v>59739.768911789994</v>
      </c>
      <c r="F64" s="74" t="s">
        <v>526</v>
      </c>
      <c r="G64" s="24" t="s">
        <v>290</v>
      </c>
      <c r="H64" s="18">
        <v>2020</v>
      </c>
      <c r="I64" s="133" t="s">
        <v>282</v>
      </c>
      <c r="J64" s="78" t="s">
        <v>287</v>
      </c>
      <c r="K64" s="71"/>
      <c r="L64" s="16">
        <v>25</v>
      </c>
      <c r="M64" s="16">
        <v>15</v>
      </c>
      <c r="N64" s="16">
        <v>5</v>
      </c>
      <c r="O64" s="16">
        <v>15</v>
      </c>
      <c r="P64" s="20">
        <f>L64+M64+N64+O64</f>
        <v>60</v>
      </c>
      <c r="Q64" s="15" t="str">
        <f>IF(P64&gt;=80,"✅ High Quality",IF(P64&gt;=60,"🟡 Acceptable",IF(P64&gt;=40,"⚠️ Use with Caution","🔴 Insufficient")))</f>
        <v>🟡 Acceptable</v>
      </c>
      <c r="R64" s="82"/>
    </row>
    <row r="65" spans="1:18" ht="46" customHeight="1" x14ac:dyDescent="0.2">
      <c r="A65" s="13"/>
      <c r="B65" s="13" t="s">
        <v>279</v>
      </c>
      <c r="C65" s="14" t="s">
        <v>288</v>
      </c>
      <c r="D65" s="23" t="s">
        <v>530</v>
      </c>
      <c r="E65" s="73">
        <v>62291.219919869996</v>
      </c>
      <c r="F65" s="74" t="s">
        <v>526</v>
      </c>
      <c r="G65" s="24" t="s">
        <v>290</v>
      </c>
      <c r="H65" s="18">
        <v>2019</v>
      </c>
      <c r="I65" s="133" t="s">
        <v>282</v>
      </c>
      <c r="J65" s="78" t="s">
        <v>564</v>
      </c>
      <c r="K65" s="71"/>
      <c r="L65" s="16">
        <v>25</v>
      </c>
      <c r="M65" s="16">
        <v>15</v>
      </c>
      <c r="N65" s="16">
        <v>5</v>
      </c>
      <c r="O65" s="16">
        <v>15</v>
      </c>
      <c r="P65" s="20">
        <f>L65+M65+N65+O65</f>
        <v>60</v>
      </c>
      <c r="Q65" s="15" t="str">
        <f>IF(P65&gt;=80,"✅ High Quality",IF(P65&gt;=60,"🟡 Acceptable",IF(P65&gt;=40,"⚠️ Use with Caution","🔴 Insufficient")))</f>
        <v>🟡 Acceptable</v>
      </c>
      <c r="R65" s="82"/>
    </row>
    <row r="66" spans="1:18" ht="46" customHeight="1" x14ac:dyDescent="0.2">
      <c r="A66" s="13"/>
      <c r="B66" s="13" t="s">
        <v>279</v>
      </c>
      <c r="C66" s="22" t="s">
        <v>288</v>
      </c>
      <c r="D66" s="23" t="s">
        <v>289</v>
      </c>
      <c r="E66" s="73">
        <v>83498.912781990002</v>
      </c>
      <c r="F66" s="74" t="s">
        <v>526</v>
      </c>
      <c r="G66" s="24" t="s">
        <v>290</v>
      </c>
      <c r="H66" s="18">
        <v>2024</v>
      </c>
      <c r="I66" s="133" t="s">
        <v>282</v>
      </c>
      <c r="J66" s="78" t="s">
        <v>564</v>
      </c>
      <c r="K66" s="71"/>
      <c r="L66" s="16">
        <v>25</v>
      </c>
      <c r="M66" s="16">
        <v>15</v>
      </c>
      <c r="N66" s="16">
        <v>25</v>
      </c>
      <c r="O66" s="16">
        <v>15</v>
      </c>
      <c r="P66" s="20">
        <f>L66+M66+N66+O66</f>
        <v>80</v>
      </c>
      <c r="Q66" s="23" t="str">
        <f>IF(P66&gt;=80,"✅ High Quality",IF(P66&gt;=60,"🟡 Acceptable",IF(P66&gt;=40,"⚠️ Use with Caution","🔴 Insufficient")))</f>
        <v>✅ High Quality</v>
      </c>
      <c r="R66" s="82"/>
    </row>
    <row r="67" spans="1:18" ht="46" customHeight="1" x14ac:dyDescent="0.2">
      <c r="A67" s="13"/>
      <c r="B67" s="13" t="s">
        <v>279</v>
      </c>
      <c r="C67" s="22" t="s">
        <v>288</v>
      </c>
      <c r="D67" s="23" t="s">
        <v>289</v>
      </c>
      <c r="E67" s="73">
        <v>86202.487928039991</v>
      </c>
      <c r="F67" s="74" t="s">
        <v>526</v>
      </c>
      <c r="G67" s="24" t="s">
        <v>290</v>
      </c>
      <c r="H67" s="18">
        <v>2023</v>
      </c>
      <c r="I67" s="133" t="s">
        <v>282</v>
      </c>
      <c r="J67" s="78" t="s">
        <v>284</v>
      </c>
      <c r="K67" s="71"/>
      <c r="L67" s="16">
        <v>25</v>
      </c>
      <c r="M67" s="16">
        <v>15</v>
      </c>
      <c r="N67" s="16">
        <v>25</v>
      </c>
      <c r="O67" s="16">
        <v>15</v>
      </c>
      <c r="P67" s="20">
        <f>L67+M67+N67+O67</f>
        <v>80</v>
      </c>
      <c r="Q67" s="23" t="str">
        <f>IF(P67&gt;=80,"✅ High Quality",IF(P67&gt;=60,"🟡 Acceptable",IF(P67&gt;=40,"⚠️ Use with Caution","🔴 Insufficient")))</f>
        <v>✅ High Quality</v>
      </c>
      <c r="R67" s="82"/>
    </row>
    <row r="68" spans="1:18" ht="46" customHeight="1" x14ac:dyDescent="0.2">
      <c r="A68" s="13"/>
      <c r="B68" s="13" t="s">
        <v>279</v>
      </c>
      <c r="C68" s="22" t="s">
        <v>288</v>
      </c>
      <c r="D68" s="23" t="s">
        <v>289</v>
      </c>
      <c r="E68" s="73">
        <v>88264.560392669999</v>
      </c>
      <c r="F68" s="74" t="s">
        <v>526</v>
      </c>
      <c r="G68" s="24" t="s">
        <v>290</v>
      </c>
      <c r="H68" s="18">
        <v>2022</v>
      </c>
      <c r="I68" s="133" t="s">
        <v>282</v>
      </c>
      <c r="J68" s="78" t="s">
        <v>285</v>
      </c>
      <c r="K68" s="71"/>
      <c r="L68" s="16">
        <v>25</v>
      </c>
      <c r="M68" s="16">
        <v>15</v>
      </c>
      <c r="N68" s="16">
        <v>20</v>
      </c>
      <c r="O68" s="16">
        <v>15</v>
      </c>
      <c r="P68" s="20">
        <f>L68+M68+N68+O68</f>
        <v>75</v>
      </c>
      <c r="Q68" s="23" t="str">
        <f>IF(P68&gt;=80,"✅ High Quality",IF(P68&gt;=60,"🟡 Acceptable",IF(P68&gt;=40,"⚠️ Use with Caution","🔴 Insufficient")))</f>
        <v>🟡 Acceptable</v>
      </c>
      <c r="R68" s="82"/>
    </row>
    <row r="69" spans="1:18" ht="46" customHeight="1" x14ac:dyDescent="0.2">
      <c r="A69" s="13"/>
      <c r="B69" s="13" t="s">
        <v>279</v>
      </c>
      <c r="C69" s="22" t="s">
        <v>288</v>
      </c>
      <c r="D69" s="23" t="s">
        <v>289</v>
      </c>
      <c r="E69" s="73">
        <v>90749.065420649989</v>
      </c>
      <c r="F69" s="74" t="s">
        <v>526</v>
      </c>
      <c r="G69" s="24" t="s">
        <v>290</v>
      </c>
      <c r="H69" s="18">
        <v>2020</v>
      </c>
      <c r="I69" s="133" t="s">
        <v>282</v>
      </c>
      <c r="J69" s="78" t="s">
        <v>287</v>
      </c>
      <c r="K69" s="71"/>
      <c r="L69" s="16">
        <v>25</v>
      </c>
      <c r="M69" s="16">
        <v>15</v>
      </c>
      <c r="N69" s="16">
        <v>5</v>
      </c>
      <c r="O69" s="16">
        <v>15</v>
      </c>
      <c r="P69" s="20">
        <f>L69+M69+N69+O69</f>
        <v>60</v>
      </c>
      <c r="Q69" s="23" t="str">
        <f>IF(P69&gt;=80,"✅ High Quality",IF(P69&gt;=60,"🟡 Acceptable",IF(P69&gt;=40,"⚠️ Use with Caution","🔴 Insufficient")))</f>
        <v>🟡 Acceptable</v>
      </c>
      <c r="R69" s="82"/>
    </row>
    <row r="70" spans="1:18" ht="45" customHeight="1" x14ac:dyDescent="0.2">
      <c r="A70" s="13"/>
      <c r="B70" s="13" t="s">
        <v>279</v>
      </c>
      <c r="C70" s="22" t="s">
        <v>288</v>
      </c>
      <c r="D70" s="23" t="s">
        <v>289</v>
      </c>
      <c r="E70" s="73">
        <v>91580.201097059995</v>
      </c>
      <c r="F70" s="74" t="s">
        <v>526</v>
      </c>
      <c r="G70" s="24" t="s">
        <v>290</v>
      </c>
      <c r="H70" s="18">
        <v>2021</v>
      </c>
      <c r="I70" s="133" t="s">
        <v>282</v>
      </c>
      <c r="J70" s="78" t="s">
        <v>286</v>
      </c>
      <c r="K70" s="71"/>
      <c r="L70" s="16">
        <v>25</v>
      </c>
      <c r="M70" s="16">
        <v>15</v>
      </c>
      <c r="N70" s="16">
        <v>5</v>
      </c>
      <c r="O70" s="16">
        <v>15</v>
      </c>
      <c r="P70" s="20">
        <f>L70+M70+N70+O70</f>
        <v>60</v>
      </c>
      <c r="Q70" s="23" t="str">
        <f>IF(P70&gt;=80,"✅ High Quality",IF(P70&gt;=60,"🟡 Acceptable",IF(P70&gt;=40,"⚠️ Use with Caution","🔴 Insufficient")))</f>
        <v>🟡 Acceptable</v>
      </c>
      <c r="R70" s="82"/>
    </row>
    <row r="71" spans="1:18" ht="45" customHeight="1" x14ac:dyDescent="0.2">
      <c r="A71" s="13"/>
      <c r="B71" s="13" t="s">
        <v>279</v>
      </c>
      <c r="C71" s="22" t="s">
        <v>288</v>
      </c>
      <c r="D71" s="23" t="s">
        <v>289</v>
      </c>
      <c r="E71" s="73">
        <v>94324.609100069996</v>
      </c>
      <c r="F71" s="74" t="s">
        <v>526</v>
      </c>
      <c r="G71" s="24" t="s">
        <v>290</v>
      </c>
      <c r="H71" s="18">
        <v>2019</v>
      </c>
      <c r="I71" s="133" t="s">
        <v>282</v>
      </c>
      <c r="J71" s="78" t="s">
        <v>564</v>
      </c>
      <c r="K71" s="71"/>
      <c r="L71" s="16">
        <v>25</v>
      </c>
      <c r="M71" s="16">
        <v>15</v>
      </c>
      <c r="N71" s="16">
        <v>5</v>
      </c>
      <c r="O71" s="16">
        <v>15</v>
      </c>
      <c r="P71" s="20">
        <f>L71+M71+N71+O71</f>
        <v>60</v>
      </c>
      <c r="Q71" s="23" t="str">
        <f>IF(P71&gt;=80,"✅ High Quality",IF(P71&gt;=60,"🟡 Acceptable",IF(P71&gt;=40,"⚠️ Use with Caution","🔴 Insufficient")))</f>
        <v>🟡 Acceptable</v>
      </c>
      <c r="R71" s="82"/>
    </row>
    <row r="72" spans="1:18" ht="45" customHeight="1" x14ac:dyDescent="0.2">
      <c r="A72" s="13"/>
      <c r="B72" s="13" t="s">
        <v>279</v>
      </c>
      <c r="C72" s="14" t="s">
        <v>293</v>
      </c>
      <c r="D72" s="15" t="s">
        <v>541</v>
      </c>
      <c r="E72" s="73">
        <v>188061</v>
      </c>
      <c r="F72" s="74" t="s">
        <v>526</v>
      </c>
      <c r="G72" s="17" t="s">
        <v>295</v>
      </c>
      <c r="H72" s="18">
        <v>2021</v>
      </c>
      <c r="I72" s="133" t="s">
        <v>282</v>
      </c>
      <c r="J72" s="78" t="s">
        <v>286</v>
      </c>
      <c r="K72" s="71"/>
      <c r="L72" s="16">
        <v>25</v>
      </c>
      <c r="M72" s="16">
        <v>15</v>
      </c>
      <c r="N72" s="16">
        <v>5</v>
      </c>
      <c r="O72" s="16">
        <v>15</v>
      </c>
      <c r="P72" s="20">
        <f>L72+M72+N72+O72</f>
        <v>60</v>
      </c>
      <c r="Q72" s="23" t="str">
        <f>IF(P72&gt;=80,"✅ High Quality",IF(P72&gt;=60,"🟡 Acceptable",IF(P72&gt;=40,"⚠️ Use with Caution","🔴 Insufficient")))</f>
        <v>🟡 Acceptable</v>
      </c>
      <c r="R72" s="82"/>
    </row>
    <row r="73" spans="1:18" ht="45" customHeight="1" x14ac:dyDescent="0.2">
      <c r="A73" s="13"/>
      <c r="B73" s="13" t="s">
        <v>279</v>
      </c>
      <c r="C73" s="14" t="s">
        <v>293</v>
      </c>
      <c r="D73" s="15" t="s">
        <v>541</v>
      </c>
      <c r="E73" s="73">
        <v>216409</v>
      </c>
      <c r="F73" s="74" t="s">
        <v>526</v>
      </c>
      <c r="G73" s="17" t="s">
        <v>295</v>
      </c>
      <c r="H73" s="18">
        <v>2019</v>
      </c>
      <c r="I73" s="133" t="s">
        <v>282</v>
      </c>
      <c r="J73" s="78" t="s">
        <v>564</v>
      </c>
      <c r="K73" s="71"/>
      <c r="L73" s="16">
        <v>25</v>
      </c>
      <c r="M73" s="16">
        <v>15</v>
      </c>
      <c r="N73" s="16">
        <v>5</v>
      </c>
      <c r="O73" s="16">
        <v>15</v>
      </c>
      <c r="P73" s="20">
        <f>L73+M73+N73+O73</f>
        <v>60</v>
      </c>
      <c r="Q73" s="23" t="str">
        <f>IF(P73&gt;=80,"✅ High Quality",IF(P73&gt;=60,"🟡 Acceptable",IF(P73&gt;=40,"⚠️ Use with Caution","🔴 Insufficient")))</f>
        <v>🟡 Acceptable</v>
      </c>
      <c r="R73" s="82"/>
    </row>
    <row r="74" spans="1:18" ht="45" customHeight="1" x14ac:dyDescent="0.2">
      <c r="A74" s="13"/>
      <c r="B74" s="13" t="s">
        <v>279</v>
      </c>
      <c r="C74" s="14" t="s">
        <v>293</v>
      </c>
      <c r="D74" s="15" t="s">
        <v>541</v>
      </c>
      <c r="E74" s="73">
        <v>223966</v>
      </c>
      <c r="F74" s="74" t="s">
        <v>526</v>
      </c>
      <c r="G74" s="17" t="s">
        <v>295</v>
      </c>
      <c r="H74" s="18">
        <v>2020</v>
      </c>
      <c r="I74" s="133" t="s">
        <v>282</v>
      </c>
      <c r="J74" s="78" t="s">
        <v>287</v>
      </c>
      <c r="K74" s="71"/>
      <c r="L74" s="16">
        <v>25</v>
      </c>
      <c r="M74" s="16">
        <v>15</v>
      </c>
      <c r="N74" s="16">
        <v>5</v>
      </c>
      <c r="O74" s="16">
        <v>15</v>
      </c>
      <c r="P74" s="20">
        <f>L74+M74+N74+O74</f>
        <v>60</v>
      </c>
      <c r="Q74" s="23" t="str">
        <f>IF(P74&gt;=80,"✅ High Quality",IF(P74&gt;=60,"🟡 Acceptable",IF(P74&gt;=40,"⚠️ Use with Caution","🔴 Insufficient")))</f>
        <v>🟡 Acceptable</v>
      </c>
      <c r="R74" s="82"/>
    </row>
    <row r="75" spans="1:18" ht="46" customHeight="1" x14ac:dyDescent="0.2">
      <c r="A75" s="13"/>
      <c r="B75" s="13" t="s">
        <v>279</v>
      </c>
      <c r="C75" s="14" t="s">
        <v>293</v>
      </c>
      <c r="D75" s="15" t="s">
        <v>529</v>
      </c>
      <c r="E75" s="73">
        <v>227237</v>
      </c>
      <c r="F75" s="74" t="s">
        <v>526</v>
      </c>
      <c r="G75" s="17" t="s">
        <v>295</v>
      </c>
      <c r="H75" s="18">
        <v>2024</v>
      </c>
      <c r="I75" s="133" t="s">
        <v>282</v>
      </c>
      <c r="J75" s="78" t="s">
        <v>564</v>
      </c>
      <c r="K75" s="71"/>
      <c r="L75" s="16">
        <v>25</v>
      </c>
      <c r="M75" s="16">
        <v>15</v>
      </c>
      <c r="N75" s="16">
        <v>25</v>
      </c>
      <c r="O75" s="16">
        <v>15</v>
      </c>
      <c r="P75" s="20">
        <f>L75+M75+N75+O75</f>
        <v>80</v>
      </c>
      <c r="Q75" s="23" t="str">
        <f>IF(P75&gt;=80,"✅ High Quality",IF(P75&gt;=60,"🟡 Acceptable",IF(P75&gt;=40,"⚠️ Use with Caution","🔴 Insufficient")))</f>
        <v>✅ High Quality</v>
      </c>
      <c r="R75" s="82"/>
    </row>
    <row r="76" spans="1:18" ht="45" customHeight="1" x14ac:dyDescent="0.2">
      <c r="A76" s="13"/>
      <c r="B76" s="13" t="s">
        <v>279</v>
      </c>
      <c r="C76" s="14" t="s">
        <v>293</v>
      </c>
      <c r="D76" s="15" t="s">
        <v>541</v>
      </c>
      <c r="E76" s="73">
        <v>233141</v>
      </c>
      <c r="F76" s="74" t="s">
        <v>526</v>
      </c>
      <c r="G76" s="17" t="s">
        <v>295</v>
      </c>
      <c r="H76" s="18">
        <v>2023</v>
      </c>
      <c r="I76" s="133" t="s">
        <v>282</v>
      </c>
      <c r="J76" s="78" t="s">
        <v>284</v>
      </c>
      <c r="K76" s="71"/>
      <c r="L76" s="16">
        <v>25</v>
      </c>
      <c r="M76" s="16">
        <v>15</v>
      </c>
      <c r="N76" s="16">
        <v>25</v>
      </c>
      <c r="O76" s="16">
        <v>15</v>
      </c>
      <c r="P76" s="20">
        <f>L76+M76+N76+O76</f>
        <v>80</v>
      </c>
      <c r="Q76" s="23" t="str">
        <f>IF(P76&gt;=80,"✅ High Quality",IF(P76&gt;=60,"🟡 Acceptable",IF(P76&gt;=40,"⚠️ Use with Caution","🔴 Insufficient")))</f>
        <v>✅ High Quality</v>
      </c>
      <c r="R76" s="82"/>
    </row>
    <row r="77" spans="1:18" ht="45" customHeight="1" x14ac:dyDescent="0.2">
      <c r="A77" s="13"/>
      <c r="B77" s="13" t="s">
        <v>279</v>
      </c>
      <c r="C77" s="14" t="s">
        <v>293</v>
      </c>
      <c r="D77" s="15" t="s">
        <v>541</v>
      </c>
      <c r="E77" s="73">
        <v>237729</v>
      </c>
      <c r="F77" s="74" t="s">
        <v>526</v>
      </c>
      <c r="G77" s="17" t="s">
        <v>295</v>
      </c>
      <c r="H77" s="18">
        <v>2022</v>
      </c>
      <c r="I77" s="133" t="s">
        <v>282</v>
      </c>
      <c r="J77" s="78" t="s">
        <v>285</v>
      </c>
      <c r="K77" s="71"/>
      <c r="L77" s="16">
        <v>25</v>
      </c>
      <c r="M77" s="16">
        <v>15</v>
      </c>
      <c r="N77" s="16">
        <v>20</v>
      </c>
      <c r="O77" s="16">
        <v>15</v>
      </c>
      <c r="P77" s="20">
        <f>L77+M77+N77+O77</f>
        <v>75</v>
      </c>
      <c r="Q77" s="23" t="str">
        <f>IF(P77&gt;=80,"✅ High Quality",IF(P77&gt;=60,"🟡 Acceptable",IF(P77&gt;=40,"⚠️ Use with Caution","🔴 Insufficient")))</f>
        <v>🟡 Acceptable</v>
      </c>
      <c r="R77" s="82"/>
    </row>
    <row r="78" spans="1:18" ht="45" customHeight="1" x14ac:dyDescent="0.2">
      <c r="A78" s="13"/>
      <c r="B78" s="13" t="s">
        <v>279</v>
      </c>
      <c r="C78" s="14" t="s">
        <v>293</v>
      </c>
      <c r="D78" s="15" t="s">
        <v>529</v>
      </c>
      <c r="E78" s="73">
        <v>247340</v>
      </c>
      <c r="F78" s="74" t="s">
        <v>526</v>
      </c>
      <c r="G78" s="17" t="s">
        <v>295</v>
      </c>
      <c r="H78" s="18">
        <v>2023</v>
      </c>
      <c r="I78" s="133" t="s">
        <v>282</v>
      </c>
      <c r="J78" s="78" t="s">
        <v>284</v>
      </c>
      <c r="K78" s="71"/>
      <c r="L78" s="16">
        <v>25</v>
      </c>
      <c r="M78" s="16">
        <v>15</v>
      </c>
      <c r="N78" s="16">
        <v>25</v>
      </c>
      <c r="O78" s="16">
        <v>15</v>
      </c>
      <c r="P78" s="20">
        <f>L78+M78+N78+O78</f>
        <v>80</v>
      </c>
      <c r="Q78" s="23" t="str">
        <f>IF(P78&gt;=80,"✅ High Quality",IF(P78&gt;=60,"🟡 Acceptable",IF(P78&gt;=40,"⚠️ Use with Caution","🔴 Insufficient")))</f>
        <v>✅ High Quality</v>
      </c>
      <c r="R78" s="82"/>
    </row>
    <row r="79" spans="1:18" ht="45" customHeight="1" x14ac:dyDescent="0.2">
      <c r="A79" s="13"/>
      <c r="B79" s="13" t="s">
        <v>279</v>
      </c>
      <c r="C79" s="14" t="s">
        <v>293</v>
      </c>
      <c r="D79" s="15" t="s">
        <v>529</v>
      </c>
      <c r="E79" s="73">
        <v>250534</v>
      </c>
      <c r="F79" s="74" t="s">
        <v>526</v>
      </c>
      <c r="G79" s="17" t="s">
        <v>295</v>
      </c>
      <c r="H79" s="18">
        <v>2019</v>
      </c>
      <c r="I79" s="133" t="s">
        <v>282</v>
      </c>
      <c r="J79" s="78" t="s">
        <v>564</v>
      </c>
      <c r="K79" s="71"/>
      <c r="L79" s="16">
        <v>25</v>
      </c>
      <c r="M79" s="16">
        <v>15</v>
      </c>
      <c r="N79" s="16">
        <v>5</v>
      </c>
      <c r="O79" s="16">
        <v>15</v>
      </c>
      <c r="P79" s="20">
        <f>L79+M79+N79+O79</f>
        <v>60</v>
      </c>
      <c r="Q79" s="23" t="str">
        <f>IF(P79&gt;=80,"✅ High Quality",IF(P79&gt;=60,"🟡 Acceptable",IF(P79&gt;=40,"⚠️ Use with Caution","🔴 Insufficient")))</f>
        <v>🟡 Acceptable</v>
      </c>
      <c r="R79" s="82"/>
    </row>
    <row r="80" spans="1:18" ht="45" customHeight="1" x14ac:dyDescent="0.2">
      <c r="A80" s="13"/>
      <c r="B80" s="13" t="s">
        <v>279</v>
      </c>
      <c r="C80" s="14" t="s">
        <v>293</v>
      </c>
      <c r="D80" s="15" t="s">
        <v>541</v>
      </c>
      <c r="E80" s="73">
        <v>269335</v>
      </c>
      <c r="F80" s="74" t="s">
        <v>526</v>
      </c>
      <c r="G80" s="17" t="s">
        <v>295</v>
      </c>
      <c r="H80" s="18">
        <v>2024</v>
      </c>
      <c r="I80" s="133" t="s">
        <v>282</v>
      </c>
      <c r="J80" s="78" t="s">
        <v>564</v>
      </c>
      <c r="K80" s="71"/>
      <c r="L80" s="16">
        <v>25</v>
      </c>
      <c r="M80" s="16">
        <v>15</v>
      </c>
      <c r="N80" s="16">
        <v>25</v>
      </c>
      <c r="O80" s="16">
        <v>15</v>
      </c>
      <c r="P80" s="20">
        <f>L80+M80+N80+O80</f>
        <v>80</v>
      </c>
      <c r="Q80" s="23" t="str">
        <f>IF(P80&gt;=80,"✅ High Quality",IF(P80&gt;=60,"🟡 Acceptable",IF(P80&gt;=40,"⚠️ Use with Caution","🔴 Insufficient")))</f>
        <v>✅ High Quality</v>
      </c>
      <c r="R80" s="82"/>
    </row>
    <row r="81" spans="1:18" ht="46" customHeight="1" x14ac:dyDescent="0.2">
      <c r="A81" s="13"/>
      <c r="B81" s="13" t="s">
        <v>279</v>
      </c>
      <c r="C81" s="14" t="s">
        <v>293</v>
      </c>
      <c r="D81" s="15" t="s">
        <v>529</v>
      </c>
      <c r="E81" s="73">
        <v>275836</v>
      </c>
      <c r="F81" s="74" t="s">
        <v>526</v>
      </c>
      <c r="G81" s="17" t="s">
        <v>295</v>
      </c>
      <c r="H81" s="18">
        <v>2020</v>
      </c>
      <c r="I81" s="133" t="s">
        <v>282</v>
      </c>
      <c r="J81" s="78" t="s">
        <v>287</v>
      </c>
      <c r="K81" s="71"/>
      <c r="L81" s="16">
        <v>25</v>
      </c>
      <c r="M81" s="16">
        <v>15</v>
      </c>
      <c r="N81" s="16">
        <v>5</v>
      </c>
      <c r="O81" s="16">
        <v>15</v>
      </c>
      <c r="P81" s="20">
        <f>L81+M81+N81+O81</f>
        <v>60</v>
      </c>
      <c r="Q81" s="23" t="str">
        <f>IF(P81&gt;=80,"✅ High Quality",IF(P81&gt;=60,"🟡 Acceptable",IF(P81&gt;=40,"⚠️ Use with Caution","🔴 Insufficient")))</f>
        <v>🟡 Acceptable</v>
      </c>
      <c r="R81" s="82"/>
    </row>
    <row r="82" spans="1:18" ht="45" customHeight="1" x14ac:dyDescent="0.2">
      <c r="A82" s="13"/>
      <c r="B82" s="13" t="s">
        <v>279</v>
      </c>
      <c r="C82" s="14" t="s">
        <v>293</v>
      </c>
      <c r="D82" s="15" t="s">
        <v>529</v>
      </c>
      <c r="E82" s="73">
        <v>304736</v>
      </c>
      <c r="F82" s="74" t="s">
        <v>526</v>
      </c>
      <c r="G82" s="17" t="s">
        <v>295</v>
      </c>
      <c r="H82" s="18">
        <v>2021</v>
      </c>
      <c r="I82" s="133" t="s">
        <v>282</v>
      </c>
      <c r="J82" s="78" t="s">
        <v>286</v>
      </c>
      <c r="K82" s="71"/>
      <c r="L82" s="16">
        <v>25</v>
      </c>
      <c r="M82" s="16">
        <v>15</v>
      </c>
      <c r="N82" s="16">
        <v>5</v>
      </c>
      <c r="O82" s="16">
        <v>15</v>
      </c>
      <c r="P82" s="20">
        <f>L82+M82+N82+O82</f>
        <v>60</v>
      </c>
      <c r="Q82" s="23" t="str">
        <f>IF(P82&gt;=80,"✅ High Quality",IF(P82&gt;=60,"🟡 Acceptable",IF(P82&gt;=40,"⚠️ Use with Caution","🔴 Insufficient")))</f>
        <v>🟡 Acceptable</v>
      </c>
      <c r="R82" s="82"/>
    </row>
    <row r="83" spans="1:18" ht="45" customHeight="1" x14ac:dyDescent="0.2">
      <c r="A83" s="13"/>
      <c r="B83" s="13" t="s">
        <v>279</v>
      </c>
      <c r="C83" s="14" t="s">
        <v>293</v>
      </c>
      <c r="D83" s="15" t="s">
        <v>528</v>
      </c>
      <c r="E83" s="73">
        <v>313508</v>
      </c>
      <c r="F83" s="74" t="s">
        <v>296</v>
      </c>
      <c r="G83" s="17" t="s">
        <v>295</v>
      </c>
      <c r="H83" s="18">
        <v>2024</v>
      </c>
      <c r="I83" s="133" t="s">
        <v>282</v>
      </c>
      <c r="J83" s="78" t="s">
        <v>564</v>
      </c>
      <c r="K83" s="71"/>
      <c r="L83" s="16">
        <v>25</v>
      </c>
      <c r="M83" s="16">
        <v>15</v>
      </c>
      <c r="N83" s="16">
        <v>25</v>
      </c>
      <c r="O83" s="16">
        <v>15</v>
      </c>
      <c r="P83" s="20">
        <f>L83+M83+N83+O83</f>
        <v>80</v>
      </c>
      <c r="Q83" s="23" t="str">
        <f>IF(P83&gt;=80,"✅ High Quality",IF(P83&gt;=60,"🟡 Acceptable",IF(P83&gt;=40,"⚠️ Use with Caution","🔴 Insufficient")))</f>
        <v>✅ High Quality</v>
      </c>
      <c r="R83" s="82"/>
    </row>
    <row r="84" spans="1:18" ht="45" customHeight="1" x14ac:dyDescent="0.2">
      <c r="A84" s="13"/>
      <c r="B84" s="13" t="s">
        <v>279</v>
      </c>
      <c r="C84" s="14" t="s">
        <v>293</v>
      </c>
      <c r="D84" s="15" t="s">
        <v>529</v>
      </c>
      <c r="E84" s="73">
        <v>344737</v>
      </c>
      <c r="F84" s="74" t="s">
        <v>526</v>
      </c>
      <c r="G84" s="17" t="s">
        <v>295</v>
      </c>
      <c r="H84" s="18">
        <v>2022</v>
      </c>
      <c r="I84" s="133" t="s">
        <v>282</v>
      </c>
      <c r="J84" s="78" t="s">
        <v>285</v>
      </c>
      <c r="K84" s="71"/>
      <c r="L84" s="16">
        <v>25</v>
      </c>
      <c r="M84" s="16">
        <v>15</v>
      </c>
      <c r="N84" s="16">
        <v>20</v>
      </c>
      <c r="O84" s="16">
        <v>15</v>
      </c>
      <c r="P84" s="20">
        <f>L84+M84+N84+O84</f>
        <v>75</v>
      </c>
      <c r="Q84" s="23" t="str">
        <f>IF(P84&gt;=80,"✅ High Quality",IF(P84&gt;=60,"🟡 Acceptable",IF(P84&gt;=40,"⚠️ Use with Caution","🔴 Insufficient")))</f>
        <v>🟡 Acceptable</v>
      </c>
      <c r="R84" s="82"/>
    </row>
    <row r="85" spans="1:18" ht="45" customHeight="1" x14ac:dyDescent="0.2">
      <c r="A85" s="13"/>
      <c r="B85" s="13" t="s">
        <v>279</v>
      </c>
      <c r="C85" s="14" t="s">
        <v>293</v>
      </c>
      <c r="D85" s="15" t="s">
        <v>541</v>
      </c>
      <c r="E85" s="73">
        <v>350287</v>
      </c>
      <c r="F85" s="74" t="s">
        <v>296</v>
      </c>
      <c r="G85" s="17" t="s">
        <v>295</v>
      </c>
      <c r="H85" s="18">
        <v>2019</v>
      </c>
      <c r="I85" s="133" t="s">
        <v>282</v>
      </c>
      <c r="J85" s="78" t="s">
        <v>568</v>
      </c>
      <c r="K85" s="71"/>
      <c r="L85" s="16">
        <v>25</v>
      </c>
      <c r="M85" s="16">
        <v>15</v>
      </c>
      <c r="N85" s="16">
        <v>5</v>
      </c>
      <c r="O85" s="16">
        <v>15</v>
      </c>
      <c r="P85" s="20">
        <f>L85+M85+N85+O85</f>
        <v>60</v>
      </c>
      <c r="Q85" s="23" t="str">
        <f>IF(P85&gt;=80,"✅ High Quality",IF(P85&gt;=60,"🟡 Acceptable",IF(P85&gt;=40,"⚠️ Use with Caution","🔴 Insufficient")))</f>
        <v>🟡 Acceptable</v>
      </c>
      <c r="R85" s="82"/>
    </row>
    <row r="86" spans="1:18" ht="45" customHeight="1" x14ac:dyDescent="0.2">
      <c r="A86" s="13"/>
      <c r="B86" s="13" t="s">
        <v>279</v>
      </c>
      <c r="C86" s="14" t="s">
        <v>293</v>
      </c>
      <c r="D86" s="15" t="s">
        <v>528</v>
      </c>
      <c r="E86" s="73">
        <v>370935</v>
      </c>
      <c r="F86" s="74" t="s">
        <v>296</v>
      </c>
      <c r="G86" s="17" t="s">
        <v>295</v>
      </c>
      <c r="H86" s="18">
        <v>2023</v>
      </c>
      <c r="I86" s="133" t="s">
        <v>282</v>
      </c>
      <c r="J86" s="78" t="s">
        <v>565</v>
      </c>
      <c r="K86" s="71"/>
      <c r="L86" s="16">
        <v>25</v>
      </c>
      <c r="M86" s="16">
        <v>15</v>
      </c>
      <c r="N86" s="16">
        <v>25</v>
      </c>
      <c r="O86" s="16">
        <v>15</v>
      </c>
      <c r="P86" s="20">
        <f>L86+M86+N86+O86</f>
        <v>80</v>
      </c>
      <c r="Q86" s="23" t="str">
        <f>IF(P86&gt;=80,"✅ High Quality",IF(P86&gt;=60,"🟡 Acceptable",IF(P86&gt;=40,"⚠️ Use with Caution","🔴 Insufficient")))</f>
        <v>✅ High Quality</v>
      </c>
      <c r="R86" s="82"/>
    </row>
    <row r="87" spans="1:18" ht="46" customHeight="1" x14ac:dyDescent="0.2">
      <c r="A87" s="13"/>
      <c r="B87" s="13" t="s">
        <v>279</v>
      </c>
      <c r="C87" s="14" t="s">
        <v>293</v>
      </c>
      <c r="D87" s="15" t="s">
        <v>541</v>
      </c>
      <c r="E87" s="73">
        <v>405801</v>
      </c>
      <c r="F87" s="74" t="s">
        <v>296</v>
      </c>
      <c r="G87" s="17" t="s">
        <v>295</v>
      </c>
      <c r="H87" s="18">
        <v>2020</v>
      </c>
      <c r="I87" s="133" t="s">
        <v>282</v>
      </c>
      <c r="J87" s="78" t="s">
        <v>567</v>
      </c>
      <c r="K87" s="71"/>
      <c r="L87" s="16">
        <v>25</v>
      </c>
      <c r="M87" s="16">
        <v>15</v>
      </c>
      <c r="N87" s="16">
        <v>5</v>
      </c>
      <c r="O87" s="16">
        <v>15</v>
      </c>
      <c r="P87" s="20">
        <f>L87+M87+N87+O87</f>
        <v>60</v>
      </c>
      <c r="Q87" s="23" t="str">
        <f>IF(P87&gt;=80,"✅ High Quality",IF(P87&gt;=60,"🟡 Acceptable",IF(P87&gt;=40,"⚠️ Use with Caution","🔴 Insufficient")))</f>
        <v>🟡 Acceptable</v>
      </c>
      <c r="R87" s="82"/>
    </row>
    <row r="88" spans="1:18" ht="45" customHeight="1" x14ac:dyDescent="0.2">
      <c r="A88" s="13"/>
      <c r="B88" s="13" t="s">
        <v>279</v>
      </c>
      <c r="C88" s="14" t="s">
        <v>293</v>
      </c>
      <c r="D88" s="15" t="s">
        <v>528</v>
      </c>
      <c r="E88" s="73">
        <v>426106</v>
      </c>
      <c r="F88" s="74" t="s">
        <v>296</v>
      </c>
      <c r="G88" s="17" t="s">
        <v>295</v>
      </c>
      <c r="H88" s="18">
        <v>2021</v>
      </c>
      <c r="I88" s="133" t="s">
        <v>282</v>
      </c>
      <c r="J88" s="78" t="s">
        <v>567</v>
      </c>
      <c r="K88" s="71"/>
      <c r="L88" s="16">
        <v>25</v>
      </c>
      <c r="M88" s="16">
        <v>15</v>
      </c>
      <c r="N88" s="16">
        <v>5</v>
      </c>
      <c r="O88" s="16">
        <v>15</v>
      </c>
      <c r="P88" s="20">
        <f>L88+M88+N88+O88</f>
        <v>60</v>
      </c>
      <c r="Q88" s="23" t="str">
        <f>IF(P88&gt;=80,"✅ High Quality",IF(P88&gt;=60,"🟡 Acceptable",IF(P88&gt;=40,"⚠️ Use with Caution","🔴 Insufficient")))</f>
        <v>🟡 Acceptable</v>
      </c>
      <c r="R88" s="82"/>
    </row>
    <row r="89" spans="1:18" ht="45" customHeight="1" x14ac:dyDescent="0.2">
      <c r="A89" s="13"/>
      <c r="B89" s="13" t="s">
        <v>279</v>
      </c>
      <c r="C89" s="14" t="s">
        <v>293</v>
      </c>
      <c r="D89" s="15" t="s">
        <v>528</v>
      </c>
      <c r="E89" s="73">
        <v>442038</v>
      </c>
      <c r="F89" s="74" t="s">
        <v>296</v>
      </c>
      <c r="G89" s="17" t="s">
        <v>295</v>
      </c>
      <c r="H89" s="18">
        <v>2020</v>
      </c>
      <c r="I89" s="133" t="s">
        <v>282</v>
      </c>
      <c r="J89" s="78" t="s">
        <v>567</v>
      </c>
      <c r="K89" s="71"/>
      <c r="L89" s="16">
        <v>25</v>
      </c>
      <c r="M89" s="16">
        <v>15</v>
      </c>
      <c r="N89" s="16">
        <v>5</v>
      </c>
      <c r="O89" s="16">
        <v>15</v>
      </c>
      <c r="P89" s="20">
        <f>L89+M89+N89+O89</f>
        <v>60</v>
      </c>
      <c r="Q89" s="23" t="str">
        <f>IF(P89&gt;=80,"✅ High Quality",IF(P89&gt;=60,"🟡 Acceptable",IF(P89&gt;=40,"⚠️ Use with Caution","🔴 Insufficient")))</f>
        <v>🟡 Acceptable</v>
      </c>
      <c r="R89" s="82"/>
    </row>
    <row r="90" spans="1:18" ht="45" customHeight="1" x14ac:dyDescent="0.2">
      <c r="A90" s="13"/>
      <c r="B90" s="13" t="s">
        <v>279</v>
      </c>
      <c r="C90" s="14" t="s">
        <v>293</v>
      </c>
      <c r="D90" s="15" t="s">
        <v>528</v>
      </c>
      <c r="E90" s="73">
        <v>452757</v>
      </c>
      <c r="F90" s="74" t="s">
        <v>296</v>
      </c>
      <c r="G90" s="17" t="s">
        <v>295</v>
      </c>
      <c r="H90" s="18">
        <v>2022</v>
      </c>
      <c r="I90" s="133" t="s">
        <v>282</v>
      </c>
      <c r="J90" s="78" t="s">
        <v>566</v>
      </c>
      <c r="K90" s="71"/>
      <c r="L90" s="16">
        <v>25</v>
      </c>
      <c r="M90" s="16">
        <v>15</v>
      </c>
      <c r="N90" s="16">
        <v>20</v>
      </c>
      <c r="O90" s="16">
        <v>15</v>
      </c>
      <c r="P90" s="20">
        <f>L90+M90+N90+O90</f>
        <v>75</v>
      </c>
      <c r="Q90" s="23" t="str">
        <f>IF(P90&gt;=80,"✅ High Quality",IF(P90&gt;=60,"🟡 Acceptable",IF(P90&gt;=40,"⚠️ Use with Caution","🔴 Insufficient")))</f>
        <v>🟡 Acceptable</v>
      </c>
      <c r="R90" s="82"/>
    </row>
    <row r="91" spans="1:18" ht="45" customHeight="1" x14ac:dyDescent="0.2">
      <c r="A91" s="13"/>
      <c r="B91" s="13" t="s">
        <v>279</v>
      </c>
      <c r="C91" s="14" t="s">
        <v>293</v>
      </c>
      <c r="D91" s="15" t="s">
        <v>541</v>
      </c>
      <c r="E91" s="73">
        <v>475022</v>
      </c>
      <c r="F91" s="74" t="s">
        <v>296</v>
      </c>
      <c r="G91" s="17" t="s">
        <v>295</v>
      </c>
      <c r="H91" s="18">
        <v>2021</v>
      </c>
      <c r="I91" s="133" t="s">
        <v>282</v>
      </c>
      <c r="J91" s="78" t="s">
        <v>567</v>
      </c>
      <c r="K91" s="71"/>
      <c r="L91" s="16">
        <v>25</v>
      </c>
      <c r="M91" s="16">
        <v>15</v>
      </c>
      <c r="N91" s="16">
        <v>5</v>
      </c>
      <c r="O91" s="16">
        <v>15</v>
      </c>
      <c r="P91" s="20">
        <f>L91+M91+N91+O91</f>
        <v>60</v>
      </c>
      <c r="Q91" s="23" t="str">
        <f>IF(P91&gt;=80,"✅ High Quality",IF(P91&gt;=60,"🟡 Acceptable",IF(P91&gt;=40,"⚠️ Use with Caution","🔴 Insufficient")))</f>
        <v>🟡 Acceptable</v>
      </c>
      <c r="R91" s="82"/>
    </row>
    <row r="92" spans="1:18" ht="45" customHeight="1" x14ac:dyDescent="0.2">
      <c r="A92" s="13"/>
      <c r="B92" s="13" t="s">
        <v>279</v>
      </c>
      <c r="C92" s="14" t="s">
        <v>293</v>
      </c>
      <c r="D92" s="15" t="s">
        <v>541</v>
      </c>
      <c r="E92" s="73">
        <v>478944</v>
      </c>
      <c r="F92" s="74" t="s">
        <v>296</v>
      </c>
      <c r="G92" s="17" t="s">
        <v>295</v>
      </c>
      <c r="H92" s="18">
        <v>2023</v>
      </c>
      <c r="I92" s="133" t="s">
        <v>282</v>
      </c>
      <c r="J92" s="78" t="s">
        <v>565</v>
      </c>
      <c r="K92" s="71"/>
      <c r="L92" s="16">
        <v>25</v>
      </c>
      <c r="M92" s="16">
        <v>15</v>
      </c>
      <c r="N92" s="16">
        <v>25</v>
      </c>
      <c r="O92" s="16">
        <v>15</v>
      </c>
      <c r="P92" s="20">
        <f>L92+M92+N92+O92</f>
        <v>80</v>
      </c>
      <c r="Q92" s="23" t="str">
        <f>IF(P92&gt;=80,"✅ High Quality",IF(P92&gt;=60,"🟡 Acceptable",IF(P92&gt;=40,"⚠️ Use with Caution","🔴 Insufficient")))</f>
        <v>✅ High Quality</v>
      </c>
      <c r="R92" s="82"/>
    </row>
    <row r="93" spans="1:18" ht="46" customHeight="1" x14ac:dyDescent="0.2">
      <c r="A93" s="13"/>
      <c r="B93" s="13" t="s">
        <v>279</v>
      </c>
      <c r="C93" s="14" t="s">
        <v>280</v>
      </c>
      <c r="D93" s="15" t="s">
        <v>539</v>
      </c>
      <c r="E93" s="73">
        <v>479000</v>
      </c>
      <c r="F93" s="74" t="s">
        <v>296</v>
      </c>
      <c r="G93" s="17" t="s">
        <v>281</v>
      </c>
      <c r="H93" s="18">
        <v>2024</v>
      </c>
      <c r="I93" s="133" t="s">
        <v>282</v>
      </c>
      <c r="J93" s="78" t="s">
        <v>564</v>
      </c>
      <c r="K93" s="71"/>
      <c r="L93" s="16">
        <v>25</v>
      </c>
      <c r="M93" s="16">
        <v>15</v>
      </c>
      <c r="N93" s="16">
        <v>25</v>
      </c>
      <c r="O93" s="16">
        <v>15</v>
      </c>
      <c r="P93" s="20">
        <f>L93+M93+N93+O93</f>
        <v>80</v>
      </c>
      <c r="Q93" s="15" t="str">
        <f>IF(P93&gt;=80,"✅ High Quality",IF(P93&gt;=60,"🟡 Acceptable",IF(P93&gt;=40,"⚠️ Use with Caution","🔴 Insufficient")))</f>
        <v>✅ High Quality</v>
      </c>
      <c r="R93" s="82"/>
    </row>
    <row r="94" spans="1:18" ht="45" customHeight="1" x14ac:dyDescent="0.2">
      <c r="A94" s="13"/>
      <c r="B94" s="13" t="s">
        <v>279</v>
      </c>
      <c r="C94" s="14" t="s">
        <v>293</v>
      </c>
      <c r="D94" s="15" t="s">
        <v>541</v>
      </c>
      <c r="E94" s="73">
        <v>488476</v>
      </c>
      <c r="F94" s="74" t="s">
        <v>296</v>
      </c>
      <c r="G94" s="17" t="s">
        <v>295</v>
      </c>
      <c r="H94" s="18">
        <v>2022</v>
      </c>
      <c r="I94" s="133" t="s">
        <v>282</v>
      </c>
      <c r="J94" s="78" t="s">
        <v>566</v>
      </c>
      <c r="K94" s="71"/>
      <c r="L94" s="16">
        <v>25</v>
      </c>
      <c r="M94" s="16">
        <v>15</v>
      </c>
      <c r="N94" s="16">
        <v>20</v>
      </c>
      <c r="O94" s="16">
        <v>15</v>
      </c>
      <c r="P94" s="20">
        <f>L94+M94+N94+O94</f>
        <v>75</v>
      </c>
      <c r="Q94" s="23" t="str">
        <f>IF(P94&gt;=80,"✅ High Quality",IF(P94&gt;=60,"🟡 Acceptable",IF(P94&gt;=40,"⚠️ Use with Caution","🔴 Insufficient")))</f>
        <v>🟡 Acceptable</v>
      </c>
      <c r="R94" s="82"/>
    </row>
    <row r="95" spans="1:18" ht="45" customHeight="1" x14ac:dyDescent="0.2">
      <c r="A95" s="13"/>
      <c r="B95" s="13" t="s">
        <v>279</v>
      </c>
      <c r="C95" s="14" t="s">
        <v>280</v>
      </c>
      <c r="D95" s="15" t="s">
        <v>539</v>
      </c>
      <c r="E95" s="73">
        <v>508000</v>
      </c>
      <c r="F95" s="74" t="s">
        <v>296</v>
      </c>
      <c r="G95" s="17" t="s">
        <v>281</v>
      </c>
      <c r="H95" s="18">
        <v>2022</v>
      </c>
      <c r="I95" s="133" t="s">
        <v>282</v>
      </c>
      <c r="J95" s="78" t="s">
        <v>566</v>
      </c>
      <c r="K95" s="71"/>
      <c r="L95" s="16">
        <v>25</v>
      </c>
      <c r="M95" s="16">
        <v>15</v>
      </c>
      <c r="N95" s="16">
        <v>20</v>
      </c>
      <c r="O95" s="16">
        <v>15</v>
      </c>
      <c r="P95" s="20">
        <f>L95+M95+N95+O95</f>
        <v>75</v>
      </c>
      <c r="Q95" s="15" t="str">
        <f>IF(P95&gt;=80,"✅ High Quality",IF(P95&gt;=60,"🟡 Acceptable",IF(P95&gt;=40,"⚠️ Use with Caution","🔴 Insufficient")))</f>
        <v>🟡 Acceptable</v>
      </c>
      <c r="R95" s="82"/>
    </row>
    <row r="96" spans="1:18" ht="45" customHeight="1" x14ac:dyDescent="0.2">
      <c r="A96" s="13"/>
      <c r="B96" s="13" t="s">
        <v>279</v>
      </c>
      <c r="C96" s="14" t="s">
        <v>293</v>
      </c>
      <c r="D96" s="15" t="s">
        <v>541</v>
      </c>
      <c r="E96" s="73">
        <v>516174</v>
      </c>
      <c r="F96" s="74" t="s">
        <v>296</v>
      </c>
      <c r="G96" s="17" t="s">
        <v>295</v>
      </c>
      <c r="H96" s="18">
        <v>2024</v>
      </c>
      <c r="I96" s="133" t="s">
        <v>282</v>
      </c>
      <c r="J96" s="78" t="s">
        <v>564</v>
      </c>
      <c r="K96" s="71"/>
      <c r="L96" s="16">
        <v>25</v>
      </c>
      <c r="M96" s="16">
        <v>15</v>
      </c>
      <c r="N96" s="16">
        <v>25</v>
      </c>
      <c r="O96" s="16">
        <v>15</v>
      </c>
      <c r="P96" s="20">
        <f>L96+M96+N96+O96</f>
        <v>80</v>
      </c>
      <c r="Q96" s="23" t="str">
        <f>IF(P96&gt;=80,"✅ High Quality",IF(P96&gt;=60,"🟡 Acceptable",IF(P96&gt;=40,"⚠️ Use with Caution","🔴 Insufficient")))</f>
        <v>✅ High Quality</v>
      </c>
      <c r="R96" s="82"/>
    </row>
    <row r="97" spans="1:18" ht="45" customHeight="1" x14ac:dyDescent="0.2">
      <c r="A97" s="13"/>
      <c r="B97" s="13" t="s">
        <v>279</v>
      </c>
      <c r="C97" s="14" t="s">
        <v>293</v>
      </c>
      <c r="D97" s="15" t="s">
        <v>528</v>
      </c>
      <c r="E97" s="73">
        <v>539450</v>
      </c>
      <c r="F97" s="74" t="s">
        <v>296</v>
      </c>
      <c r="G97" s="17" t="s">
        <v>295</v>
      </c>
      <c r="H97" s="18">
        <v>2019</v>
      </c>
      <c r="I97" s="133" t="s">
        <v>282</v>
      </c>
      <c r="J97" s="78" t="s">
        <v>568</v>
      </c>
      <c r="K97" s="71"/>
      <c r="L97" s="16">
        <v>25</v>
      </c>
      <c r="M97" s="16">
        <v>15</v>
      </c>
      <c r="N97" s="16">
        <v>5</v>
      </c>
      <c r="O97" s="16">
        <v>15</v>
      </c>
      <c r="P97" s="20">
        <f>L97+M97+N97+O97</f>
        <v>60</v>
      </c>
      <c r="Q97" s="23" t="str">
        <f>IF(P97&gt;=80,"✅ High Quality",IF(P97&gt;=60,"🟡 Acceptable",IF(P97&gt;=40,"⚠️ Use with Caution","🔴 Insufficient")))</f>
        <v>🟡 Acceptable</v>
      </c>
      <c r="R97" s="82"/>
    </row>
    <row r="98" spans="1:18" ht="45" customHeight="1" x14ac:dyDescent="0.2">
      <c r="A98" s="13"/>
      <c r="B98" s="13" t="s">
        <v>279</v>
      </c>
      <c r="C98" s="14" t="s">
        <v>280</v>
      </c>
      <c r="D98" s="15" t="s">
        <v>539</v>
      </c>
      <c r="E98" s="73">
        <v>553000</v>
      </c>
      <c r="F98" s="74" t="s">
        <v>296</v>
      </c>
      <c r="G98" s="17" t="s">
        <v>281</v>
      </c>
      <c r="H98" s="18">
        <v>2021</v>
      </c>
      <c r="I98" s="133" t="s">
        <v>282</v>
      </c>
      <c r="J98" s="78" t="s">
        <v>567</v>
      </c>
      <c r="K98" s="71"/>
      <c r="L98" s="16">
        <v>25</v>
      </c>
      <c r="M98" s="16">
        <v>15</v>
      </c>
      <c r="N98" s="16">
        <v>5</v>
      </c>
      <c r="O98" s="16">
        <v>15</v>
      </c>
      <c r="P98" s="20">
        <f>L98+M98+N98+O98</f>
        <v>60</v>
      </c>
      <c r="Q98" s="15" t="str">
        <f>IF(P98&gt;=80,"✅ High Quality",IF(P98&gt;=60,"🟡 Acceptable",IF(P98&gt;=40,"⚠️ Use with Caution","🔴 Insufficient")))</f>
        <v>🟡 Acceptable</v>
      </c>
      <c r="R98" s="82"/>
    </row>
    <row r="99" spans="1:18" ht="46" customHeight="1" x14ac:dyDescent="0.2">
      <c r="A99" s="13"/>
      <c r="B99" s="13" t="s">
        <v>279</v>
      </c>
      <c r="C99" s="14" t="s">
        <v>280</v>
      </c>
      <c r="D99" s="15" t="s">
        <v>539</v>
      </c>
      <c r="E99" s="73">
        <v>566000</v>
      </c>
      <c r="F99" s="74" t="s">
        <v>296</v>
      </c>
      <c r="G99" s="17" t="s">
        <v>281</v>
      </c>
      <c r="H99" s="18">
        <v>2020</v>
      </c>
      <c r="I99" s="133" t="s">
        <v>282</v>
      </c>
      <c r="J99" s="78" t="s">
        <v>567</v>
      </c>
      <c r="K99" s="71"/>
      <c r="L99" s="16">
        <v>25</v>
      </c>
      <c r="M99" s="16">
        <v>15</v>
      </c>
      <c r="N99" s="16">
        <v>5</v>
      </c>
      <c r="O99" s="16">
        <v>15</v>
      </c>
      <c r="P99" s="20">
        <f>L99+M99+N99+O99</f>
        <v>60</v>
      </c>
      <c r="Q99" s="15" t="str">
        <f>IF(P99&gt;=80,"✅ High Quality",IF(P99&gt;=60,"🟡 Acceptable",IF(P99&gt;=40,"⚠️ Use with Caution","🔴 Insufficient")))</f>
        <v>🟡 Acceptable</v>
      </c>
      <c r="R99" s="82"/>
    </row>
    <row r="100" spans="1:18" ht="46" customHeight="1" x14ac:dyDescent="0.2">
      <c r="A100" s="13"/>
      <c r="B100" s="13" t="s">
        <v>279</v>
      </c>
      <c r="C100" s="14" t="s">
        <v>293</v>
      </c>
      <c r="D100" s="15" t="s">
        <v>528</v>
      </c>
      <c r="E100" s="73">
        <v>594211</v>
      </c>
      <c r="F100" s="74" t="s">
        <v>526</v>
      </c>
      <c r="G100" s="17" t="s">
        <v>295</v>
      </c>
      <c r="H100" s="18">
        <v>2024</v>
      </c>
      <c r="I100" s="133" t="s">
        <v>282</v>
      </c>
      <c r="J100" s="78" t="s">
        <v>564</v>
      </c>
      <c r="K100" s="71"/>
      <c r="L100" s="16">
        <v>25</v>
      </c>
      <c r="M100" s="16">
        <v>15</v>
      </c>
      <c r="N100" s="16">
        <v>25</v>
      </c>
      <c r="O100" s="16">
        <v>15</v>
      </c>
      <c r="P100" s="20">
        <f>L100+M100+N100+O100</f>
        <v>80</v>
      </c>
      <c r="Q100" s="23" t="str">
        <f>IF(P100&gt;=80,"✅ High Quality",IF(P100&gt;=60,"🟡 Acceptable",IF(P100&gt;=40,"⚠️ Use with Caution","🔴 Insufficient")))</f>
        <v>✅ High Quality</v>
      </c>
      <c r="R100" s="82"/>
    </row>
    <row r="101" spans="1:18" ht="46" customHeight="1" x14ac:dyDescent="0.2">
      <c r="A101" s="13"/>
      <c r="B101" s="13" t="s">
        <v>279</v>
      </c>
      <c r="C101" s="14" t="s">
        <v>293</v>
      </c>
      <c r="D101" s="15" t="s">
        <v>528</v>
      </c>
      <c r="E101" s="73">
        <v>708378</v>
      </c>
      <c r="F101" s="74" t="s">
        <v>526</v>
      </c>
      <c r="G101" s="17" t="s">
        <v>295</v>
      </c>
      <c r="H101" s="18">
        <v>2023</v>
      </c>
      <c r="I101" s="133" t="s">
        <v>282</v>
      </c>
      <c r="J101" s="78" t="s">
        <v>284</v>
      </c>
      <c r="K101" s="71"/>
      <c r="L101" s="16">
        <v>25</v>
      </c>
      <c r="M101" s="16">
        <v>15</v>
      </c>
      <c r="N101" s="16">
        <v>25</v>
      </c>
      <c r="O101" s="16">
        <v>15</v>
      </c>
      <c r="P101" s="20">
        <f>L101+M101+N101+O101</f>
        <v>80</v>
      </c>
      <c r="Q101" s="23" t="str">
        <f>IF(P101&gt;=80,"✅ High Quality",IF(P101&gt;=60,"🟡 Acceptable",IF(P101&gt;=40,"⚠️ Use with Caution","🔴 Insufficient")))</f>
        <v>✅ High Quality</v>
      </c>
      <c r="R101" s="82"/>
    </row>
    <row r="102" spans="1:18" ht="46" customHeight="1" x14ac:dyDescent="0.2">
      <c r="A102" s="13"/>
      <c r="B102" s="13" t="s">
        <v>279</v>
      </c>
      <c r="C102" s="14" t="s">
        <v>293</v>
      </c>
      <c r="D102" s="15" t="s">
        <v>528</v>
      </c>
      <c r="E102" s="73">
        <v>757323</v>
      </c>
      <c r="F102" s="74" t="s">
        <v>526</v>
      </c>
      <c r="G102" s="17" t="s">
        <v>295</v>
      </c>
      <c r="H102" s="18">
        <v>2021</v>
      </c>
      <c r="I102" s="133" t="s">
        <v>282</v>
      </c>
      <c r="J102" s="78" t="s">
        <v>286</v>
      </c>
      <c r="K102" s="71"/>
      <c r="L102" s="16">
        <v>25</v>
      </c>
      <c r="M102" s="16">
        <v>15</v>
      </c>
      <c r="N102" s="16">
        <v>5</v>
      </c>
      <c r="O102" s="16">
        <v>15</v>
      </c>
      <c r="P102" s="20">
        <f>L102+M102+N102+O102</f>
        <v>60</v>
      </c>
      <c r="Q102" s="23" t="str">
        <f>IF(P102&gt;=80,"✅ High Quality",IF(P102&gt;=60,"🟡 Acceptable",IF(P102&gt;=40,"⚠️ Use with Caution","🔴 Insufficient")))</f>
        <v>🟡 Acceptable</v>
      </c>
      <c r="R102" s="82"/>
    </row>
    <row r="103" spans="1:18" ht="46" customHeight="1" x14ac:dyDescent="0.2">
      <c r="A103" s="13"/>
      <c r="B103" s="13" t="s">
        <v>279</v>
      </c>
      <c r="C103" s="14" t="s">
        <v>293</v>
      </c>
      <c r="D103" s="15" t="s">
        <v>528</v>
      </c>
      <c r="E103" s="73">
        <v>774097</v>
      </c>
      <c r="F103" s="74" t="s">
        <v>526</v>
      </c>
      <c r="G103" s="17" t="s">
        <v>295</v>
      </c>
      <c r="H103" s="18">
        <v>2022</v>
      </c>
      <c r="I103" s="133" t="s">
        <v>282</v>
      </c>
      <c r="J103" s="78" t="s">
        <v>285</v>
      </c>
      <c r="K103" s="71"/>
      <c r="L103" s="16">
        <v>25</v>
      </c>
      <c r="M103" s="16">
        <v>15</v>
      </c>
      <c r="N103" s="16">
        <v>20</v>
      </c>
      <c r="O103" s="16">
        <v>15</v>
      </c>
      <c r="P103" s="20">
        <f>L103+M103+N103+O103</f>
        <v>75</v>
      </c>
      <c r="Q103" s="23" t="str">
        <f>IF(P103&gt;=80,"✅ High Quality",IF(P103&gt;=60,"🟡 Acceptable",IF(P103&gt;=40,"⚠️ Use with Caution","🔴 Insufficient")))</f>
        <v>🟡 Acceptable</v>
      </c>
      <c r="R103" s="82"/>
    </row>
    <row r="104" spans="1:18" ht="46" customHeight="1" x14ac:dyDescent="0.2">
      <c r="A104" s="13"/>
      <c r="B104" s="13" t="s">
        <v>279</v>
      </c>
      <c r="C104" s="14" t="s">
        <v>280</v>
      </c>
      <c r="D104" s="15" t="s">
        <v>539</v>
      </c>
      <c r="E104" s="73">
        <v>808000</v>
      </c>
      <c r="F104" s="74" t="s">
        <v>296</v>
      </c>
      <c r="G104" s="17" t="s">
        <v>281</v>
      </c>
      <c r="H104" s="18">
        <v>2019</v>
      </c>
      <c r="I104" s="133" t="s">
        <v>282</v>
      </c>
      <c r="J104" s="78" t="s">
        <v>568</v>
      </c>
      <c r="K104" s="71"/>
      <c r="L104" s="16">
        <v>25</v>
      </c>
      <c r="M104" s="16">
        <v>15</v>
      </c>
      <c r="N104" s="16">
        <v>5</v>
      </c>
      <c r="O104" s="16">
        <v>15</v>
      </c>
      <c r="P104" s="20">
        <f>L104+M104+N104+O104</f>
        <v>60</v>
      </c>
      <c r="Q104" s="15" t="str">
        <f>IF(P104&gt;=80,"✅ High Quality",IF(P104&gt;=60,"🟡 Acceptable",IF(P104&gt;=40,"⚠️ Use with Caution","🔴 Insufficient")))</f>
        <v>🟡 Acceptable</v>
      </c>
      <c r="R104" s="82"/>
    </row>
    <row r="105" spans="1:18" ht="46" customHeight="1" x14ac:dyDescent="0.2">
      <c r="A105" s="13"/>
      <c r="B105" s="13" t="s">
        <v>279</v>
      </c>
      <c r="C105" s="14" t="s">
        <v>293</v>
      </c>
      <c r="D105" s="15" t="s">
        <v>528</v>
      </c>
      <c r="E105" s="73">
        <v>899709</v>
      </c>
      <c r="F105" s="74" t="s">
        <v>526</v>
      </c>
      <c r="G105" s="17" t="s">
        <v>295</v>
      </c>
      <c r="H105" s="18">
        <v>2020</v>
      </c>
      <c r="I105" s="133" t="s">
        <v>282</v>
      </c>
      <c r="J105" s="78" t="s">
        <v>287</v>
      </c>
      <c r="K105" s="71"/>
      <c r="L105" s="16">
        <v>25</v>
      </c>
      <c r="M105" s="16">
        <v>15</v>
      </c>
      <c r="N105" s="16">
        <v>5</v>
      </c>
      <c r="O105" s="16">
        <v>15</v>
      </c>
      <c r="P105" s="20">
        <f>L105+M105+N105+O105</f>
        <v>60</v>
      </c>
      <c r="Q105" s="23" t="str">
        <f>IF(P105&gt;=80,"✅ High Quality",IF(P105&gt;=60,"🟡 Acceptable",IF(P105&gt;=40,"⚠️ Use with Caution","🔴 Insufficient")))</f>
        <v>🟡 Acceptable</v>
      </c>
      <c r="R105" s="82"/>
    </row>
    <row r="106" spans="1:18" ht="46" customHeight="1" x14ac:dyDescent="0.2">
      <c r="A106" s="13"/>
      <c r="B106" s="13" t="s">
        <v>279</v>
      </c>
      <c r="C106" s="14" t="s">
        <v>293</v>
      </c>
      <c r="D106" s="15" t="s">
        <v>528</v>
      </c>
      <c r="E106" s="73">
        <v>913541</v>
      </c>
      <c r="F106" s="74" t="s">
        <v>526</v>
      </c>
      <c r="G106" s="17" t="s">
        <v>295</v>
      </c>
      <c r="H106" s="18">
        <v>2019</v>
      </c>
      <c r="I106" s="133" t="s">
        <v>282</v>
      </c>
      <c r="J106" s="78" t="s">
        <v>564</v>
      </c>
      <c r="K106" s="71"/>
      <c r="L106" s="16">
        <v>25</v>
      </c>
      <c r="M106" s="16">
        <v>15</v>
      </c>
      <c r="N106" s="16">
        <v>5</v>
      </c>
      <c r="O106" s="16">
        <v>15</v>
      </c>
      <c r="P106" s="20">
        <f>L106+M106+N106+O106</f>
        <v>60</v>
      </c>
      <c r="Q106" s="23" t="str">
        <f>IF(P106&gt;=80,"✅ High Quality",IF(P106&gt;=60,"🟡 Acceptable",IF(P106&gt;=40,"⚠️ Use with Caution","🔴 Insufficient")))</f>
        <v>🟡 Acceptable</v>
      </c>
      <c r="R106" s="82"/>
    </row>
    <row r="107" spans="1:18" ht="46" customHeight="1" x14ac:dyDescent="0.2">
      <c r="A107" s="13"/>
      <c r="B107" s="13" t="s">
        <v>279</v>
      </c>
      <c r="C107" s="14" t="s">
        <v>280</v>
      </c>
      <c r="D107" s="15" t="s">
        <v>539</v>
      </c>
      <c r="E107" s="73">
        <v>1684000</v>
      </c>
      <c r="F107" s="74" t="s">
        <v>526</v>
      </c>
      <c r="G107" s="17" t="s">
        <v>281</v>
      </c>
      <c r="H107" s="18">
        <v>2023</v>
      </c>
      <c r="I107" s="133" t="s">
        <v>282</v>
      </c>
      <c r="J107" s="78" t="s">
        <v>284</v>
      </c>
      <c r="K107" s="71"/>
      <c r="L107" s="16">
        <v>25</v>
      </c>
      <c r="M107" s="16">
        <v>15</v>
      </c>
      <c r="N107" s="16">
        <v>25</v>
      </c>
      <c r="O107" s="16">
        <v>15</v>
      </c>
      <c r="P107" s="20">
        <f>L107+M107+N107+O107</f>
        <v>80</v>
      </c>
      <c r="Q107" s="15" t="str">
        <f>IF(P107&gt;=80,"✅ High Quality",IF(P107&gt;=60,"🟡 Acceptable",IF(P107&gt;=40,"⚠️ Use with Caution","🔴 Insufficient")))</f>
        <v>✅ High Quality</v>
      </c>
      <c r="R107" s="82"/>
    </row>
    <row r="108" spans="1:18" ht="46" customHeight="1" x14ac:dyDescent="0.2">
      <c r="A108" s="13"/>
      <c r="B108" s="13" t="s">
        <v>279</v>
      </c>
      <c r="C108" s="14" t="s">
        <v>280</v>
      </c>
      <c r="D108" s="15" t="s">
        <v>539</v>
      </c>
      <c r="E108" s="73">
        <v>1885216</v>
      </c>
      <c r="F108" s="74" t="s">
        <v>526</v>
      </c>
      <c r="G108" s="17" t="s">
        <v>281</v>
      </c>
      <c r="H108" s="18">
        <v>2022</v>
      </c>
      <c r="I108" s="133" t="s">
        <v>282</v>
      </c>
      <c r="J108" s="78" t="s">
        <v>285</v>
      </c>
      <c r="K108" s="71"/>
      <c r="L108" s="16">
        <v>25</v>
      </c>
      <c r="M108" s="16">
        <v>15</v>
      </c>
      <c r="N108" s="16">
        <v>20</v>
      </c>
      <c r="O108" s="16">
        <v>15</v>
      </c>
      <c r="P108" s="20">
        <f>L108+M108+N108+O108</f>
        <v>75</v>
      </c>
      <c r="Q108" s="15" t="str">
        <f>IF(P108&gt;=80,"✅ High Quality",IF(P108&gt;=60,"🟡 Acceptable",IF(P108&gt;=40,"⚠️ Use with Caution","🔴 Insufficient")))</f>
        <v>🟡 Acceptable</v>
      </c>
      <c r="R108" s="82"/>
    </row>
    <row r="109" spans="1:18" ht="46" customHeight="1" x14ac:dyDescent="0.2">
      <c r="A109" s="13"/>
      <c r="B109" s="13" t="s">
        <v>279</v>
      </c>
      <c r="C109" s="14" t="s">
        <v>280</v>
      </c>
      <c r="D109" s="15" t="s">
        <v>539</v>
      </c>
      <c r="E109" s="73">
        <v>2087017</v>
      </c>
      <c r="F109" s="74" t="s">
        <v>526</v>
      </c>
      <c r="G109" s="17" t="s">
        <v>281</v>
      </c>
      <c r="H109" s="18">
        <v>2021</v>
      </c>
      <c r="I109" s="133" t="s">
        <v>282</v>
      </c>
      <c r="J109" s="78" t="s">
        <v>286</v>
      </c>
      <c r="K109" s="71"/>
      <c r="L109" s="16">
        <v>25</v>
      </c>
      <c r="M109" s="16">
        <v>15</v>
      </c>
      <c r="N109" s="16">
        <v>5</v>
      </c>
      <c r="O109" s="16">
        <v>15</v>
      </c>
      <c r="P109" s="20">
        <f>L109+M109+N109+O109</f>
        <v>60</v>
      </c>
      <c r="Q109" s="15" t="str">
        <f>IF(P109&gt;=80,"✅ High Quality",IF(P109&gt;=60,"🟡 Acceptable",IF(P109&gt;=40,"⚠️ Use with Caution","🔴 Insufficient")))</f>
        <v>🟡 Acceptable</v>
      </c>
      <c r="R109" s="82"/>
    </row>
    <row r="110" spans="1:18" ht="46" customHeight="1" x14ac:dyDescent="0.2">
      <c r="A110" s="13"/>
      <c r="B110" s="13" t="s">
        <v>279</v>
      </c>
      <c r="C110" s="14" t="s">
        <v>280</v>
      </c>
      <c r="D110" s="15" t="s">
        <v>539</v>
      </c>
      <c r="E110" s="73">
        <v>2172374</v>
      </c>
      <c r="F110" s="74" t="s">
        <v>526</v>
      </c>
      <c r="G110" s="17" t="s">
        <v>281</v>
      </c>
      <c r="H110" s="18">
        <v>2020</v>
      </c>
      <c r="I110" s="133" t="s">
        <v>282</v>
      </c>
      <c r="J110" s="78" t="s">
        <v>287</v>
      </c>
      <c r="K110" s="71"/>
      <c r="L110" s="16">
        <v>25</v>
      </c>
      <c r="M110" s="16">
        <v>15</v>
      </c>
      <c r="N110" s="16">
        <v>5</v>
      </c>
      <c r="O110" s="16">
        <v>15</v>
      </c>
      <c r="P110" s="20">
        <f>L110+M110+N110+O110</f>
        <v>60</v>
      </c>
      <c r="Q110" s="15" t="str">
        <f>IF(P110&gt;=80,"✅ High Quality",IF(P110&gt;=60,"🟡 Acceptable",IF(P110&gt;=40,"⚠️ Use with Caution","🔴 Insufficient")))</f>
        <v>🟡 Acceptable</v>
      </c>
      <c r="R110" s="82"/>
    </row>
    <row r="111" spans="1:18" ht="46" customHeight="1" x14ac:dyDescent="0.2">
      <c r="A111" s="13"/>
      <c r="B111" s="13" t="s">
        <v>279</v>
      </c>
      <c r="C111" s="22" t="s">
        <v>280</v>
      </c>
      <c r="D111" s="23" t="s">
        <v>538</v>
      </c>
      <c r="E111" s="73">
        <v>2326787</v>
      </c>
      <c r="F111" s="74" t="s">
        <v>526</v>
      </c>
      <c r="G111" s="24" t="s">
        <v>281</v>
      </c>
      <c r="H111" s="18">
        <v>2023</v>
      </c>
      <c r="I111" s="133" t="s">
        <v>282</v>
      </c>
      <c r="J111" s="78" t="s">
        <v>284</v>
      </c>
      <c r="K111" s="71"/>
      <c r="L111" s="16">
        <v>25</v>
      </c>
      <c r="M111" s="16">
        <v>15</v>
      </c>
      <c r="N111" s="16">
        <v>25</v>
      </c>
      <c r="O111" s="16">
        <v>15</v>
      </c>
      <c r="P111" s="20">
        <f>L111+M111+N111+O111</f>
        <v>80</v>
      </c>
      <c r="Q111" s="23" t="str">
        <f>IF(P111&gt;=80,"✅ High Quality",IF(P111&gt;=60,"🟡 Acceptable",IF(P111&gt;=40,"⚠️ Use with Caution","🔴 Insufficient")))</f>
        <v>✅ High Quality</v>
      </c>
      <c r="R111" s="82"/>
    </row>
    <row r="112" spans="1:18" ht="46" customHeight="1" x14ac:dyDescent="0.2">
      <c r="A112" s="13"/>
      <c r="B112" s="13" t="s">
        <v>279</v>
      </c>
      <c r="C112" s="14" t="s">
        <v>280</v>
      </c>
      <c r="D112" s="15" t="s">
        <v>540</v>
      </c>
      <c r="E112" s="73">
        <v>2415000</v>
      </c>
      <c r="F112" s="74" t="s">
        <v>296</v>
      </c>
      <c r="G112" s="17" t="s">
        <v>281</v>
      </c>
      <c r="H112" s="18">
        <v>2023</v>
      </c>
      <c r="I112" s="133" t="s">
        <v>282</v>
      </c>
      <c r="J112" s="78" t="s">
        <v>565</v>
      </c>
      <c r="K112" s="71"/>
      <c r="L112" s="16">
        <v>25</v>
      </c>
      <c r="M112" s="16">
        <v>15</v>
      </c>
      <c r="N112" s="16">
        <v>25</v>
      </c>
      <c r="O112" s="16">
        <v>15</v>
      </c>
      <c r="P112" s="20">
        <f>L112+M112+N112+O112</f>
        <v>80</v>
      </c>
      <c r="Q112" s="15" t="str">
        <f>IF(P112&gt;=80,"✅ High Quality",IF(P112&gt;=60,"🟡 Acceptable",IF(P112&gt;=40,"⚠️ Use with Caution","🔴 Insufficient")))</f>
        <v>✅ High Quality</v>
      </c>
      <c r="R112" s="82"/>
    </row>
    <row r="113" spans="1:18" ht="46" customHeight="1" x14ac:dyDescent="0.2">
      <c r="A113" s="13"/>
      <c r="B113" s="13" t="s">
        <v>279</v>
      </c>
      <c r="C113" s="14" t="s">
        <v>280</v>
      </c>
      <c r="D113" s="15" t="s">
        <v>540</v>
      </c>
      <c r="E113" s="73">
        <v>2473000</v>
      </c>
      <c r="F113" s="74" t="s">
        <v>296</v>
      </c>
      <c r="G113" s="17" t="s">
        <v>281</v>
      </c>
      <c r="H113" s="18">
        <v>2024</v>
      </c>
      <c r="I113" s="133" t="s">
        <v>282</v>
      </c>
      <c r="J113" s="78" t="s">
        <v>564</v>
      </c>
      <c r="K113" s="71"/>
      <c r="L113" s="16">
        <v>25</v>
      </c>
      <c r="M113" s="16">
        <v>15</v>
      </c>
      <c r="N113" s="16">
        <v>25</v>
      </c>
      <c r="O113" s="16">
        <v>15</v>
      </c>
      <c r="P113" s="20">
        <f>L113+M113+N113+O113</f>
        <v>80</v>
      </c>
      <c r="Q113" s="15" t="str">
        <f>IF(P113&gt;=80,"✅ High Quality",IF(P113&gt;=60,"🟡 Acceptable",IF(P113&gt;=40,"⚠️ Use with Caution","🔴 Insufficient")))</f>
        <v>✅ High Quality</v>
      </c>
      <c r="R113" s="82"/>
    </row>
    <row r="114" spans="1:18" ht="46" customHeight="1" x14ac:dyDescent="0.2">
      <c r="A114" s="13"/>
      <c r="B114" s="13" t="s">
        <v>279</v>
      </c>
      <c r="C114" s="14" t="s">
        <v>280</v>
      </c>
      <c r="D114" s="15" t="s">
        <v>540</v>
      </c>
      <c r="E114" s="73">
        <v>2500000</v>
      </c>
      <c r="F114" s="74" t="s">
        <v>296</v>
      </c>
      <c r="G114" s="17" t="s">
        <v>281</v>
      </c>
      <c r="H114" s="18">
        <v>2021</v>
      </c>
      <c r="I114" s="133" t="s">
        <v>282</v>
      </c>
      <c r="J114" s="78" t="s">
        <v>567</v>
      </c>
      <c r="K114" s="71"/>
      <c r="L114" s="16">
        <v>25</v>
      </c>
      <c r="M114" s="16">
        <v>15</v>
      </c>
      <c r="N114" s="16">
        <v>5</v>
      </c>
      <c r="O114" s="16">
        <v>15</v>
      </c>
      <c r="P114" s="20">
        <f>L114+M114+N114+O114</f>
        <v>60</v>
      </c>
      <c r="Q114" s="15" t="str">
        <f>IF(P114&gt;=80,"✅ High Quality",IF(P114&gt;=60,"🟡 Acceptable",IF(P114&gt;=40,"⚠️ Use with Caution","🔴 Insufficient")))</f>
        <v>🟡 Acceptable</v>
      </c>
      <c r="R114" s="82"/>
    </row>
    <row r="115" spans="1:18" ht="46" customHeight="1" x14ac:dyDescent="0.2">
      <c r="A115" s="13"/>
      <c r="B115" s="13" t="s">
        <v>279</v>
      </c>
      <c r="C115" s="14" t="s">
        <v>280</v>
      </c>
      <c r="D115" s="15" t="s">
        <v>540</v>
      </c>
      <c r="E115" s="73">
        <v>2513000</v>
      </c>
      <c r="F115" s="74" t="s">
        <v>296</v>
      </c>
      <c r="G115" s="17" t="s">
        <v>281</v>
      </c>
      <c r="H115" s="18">
        <v>2019</v>
      </c>
      <c r="I115" s="133" t="s">
        <v>282</v>
      </c>
      <c r="J115" s="78" t="s">
        <v>568</v>
      </c>
      <c r="K115" s="71"/>
      <c r="L115" s="16">
        <v>25</v>
      </c>
      <c r="M115" s="16">
        <v>15</v>
      </c>
      <c r="N115" s="16">
        <v>5</v>
      </c>
      <c r="O115" s="16">
        <v>15</v>
      </c>
      <c r="P115" s="20">
        <f>L115+M115+N115+O115</f>
        <v>60</v>
      </c>
      <c r="Q115" s="15" t="str">
        <f>IF(P115&gt;=80,"✅ High Quality",IF(P115&gt;=60,"🟡 Acceptable",IF(P115&gt;=40,"⚠️ Use with Caution","🔴 Insufficient")))</f>
        <v>🟡 Acceptable</v>
      </c>
      <c r="R115" s="82"/>
    </row>
    <row r="116" spans="1:18" ht="46" customHeight="1" x14ac:dyDescent="0.2">
      <c r="A116" s="13"/>
      <c r="B116" s="13" t="s">
        <v>279</v>
      </c>
      <c r="C116" s="14" t="s">
        <v>280</v>
      </c>
      <c r="D116" s="15" t="s">
        <v>540</v>
      </c>
      <c r="E116" s="73">
        <v>2541000</v>
      </c>
      <c r="F116" s="74" t="s">
        <v>296</v>
      </c>
      <c r="G116" s="17" t="s">
        <v>281</v>
      </c>
      <c r="H116" s="18">
        <v>2022</v>
      </c>
      <c r="I116" s="133" t="s">
        <v>282</v>
      </c>
      <c r="J116" s="78" t="s">
        <v>566</v>
      </c>
      <c r="K116" s="71"/>
      <c r="L116" s="16">
        <v>25</v>
      </c>
      <c r="M116" s="16">
        <v>15</v>
      </c>
      <c r="N116" s="16">
        <v>20</v>
      </c>
      <c r="O116" s="16">
        <v>15</v>
      </c>
      <c r="P116" s="20">
        <f>L116+M116+N116+O116</f>
        <v>75</v>
      </c>
      <c r="Q116" s="15" t="str">
        <f>IF(P116&gt;=80,"✅ High Quality",IF(P116&gt;=60,"🟡 Acceptable",IF(P116&gt;=40,"⚠️ Use with Caution","🔴 Insufficient")))</f>
        <v>🟡 Acceptable</v>
      </c>
      <c r="R116" s="82"/>
    </row>
    <row r="117" spans="1:18" ht="46" customHeight="1" x14ac:dyDescent="0.2">
      <c r="A117" s="13"/>
      <c r="B117" s="13" t="s">
        <v>279</v>
      </c>
      <c r="C117" s="14" t="s">
        <v>280</v>
      </c>
      <c r="D117" s="15" t="s">
        <v>540</v>
      </c>
      <c r="E117" s="73">
        <v>2545000</v>
      </c>
      <c r="F117" s="74" t="s">
        <v>296</v>
      </c>
      <c r="G117" s="17" t="s">
        <v>281</v>
      </c>
      <c r="H117" s="18">
        <v>2020</v>
      </c>
      <c r="I117" s="133" t="s">
        <v>282</v>
      </c>
      <c r="J117" s="78" t="s">
        <v>567</v>
      </c>
      <c r="K117" s="71"/>
      <c r="L117" s="16">
        <v>25</v>
      </c>
      <c r="M117" s="16">
        <v>15</v>
      </c>
      <c r="N117" s="16">
        <v>5</v>
      </c>
      <c r="O117" s="16">
        <v>15</v>
      </c>
      <c r="P117" s="20">
        <f>L117+M117+N117+O117</f>
        <v>60</v>
      </c>
      <c r="Q117" s="15" t="str">
        <f>IF(P117&gt;=80,"✅ High Quality",IF(P117&gt;=60,"🟡 Acceptable",IF(P117&gt;=40,"⚠️ Use with Caution","🔴 Insufficient")))</f>
        <v>🟡 Acceptable</v>
      </c>
      <c r="R117" s="82"/>
    </row>
    <row r="118" spans="1:18" ht="46" customHeight="1" x14ac:dyDescent="0.2">
      <c r="A118" s="13"/>
      <c r="B118" s="13" t="s">
        <v>279</v>
      </c>
      <c r="C118" s="22" t="s">
        <v>280</v>
      </c>
      <c r="D118" s="23" t="s">
        <v>538</v>
      </c>
      <c r="E118" s="73">
        <v>2566943</v>
      </c>
      <c r="F118" s="74" t="s">
        <v>526</v>
      </c>
      <c r="G118" s="24" t="s">
        <v>281</v>
      </c>
      <c r="H118" s="18">
        <v>2022</v>
      </c>
      <c r="I118" s="133" t="s">
        <v>282</v>
      </c>
      <c r="J118" s="78" t="s">
        <v>285</v>
      </c>
      <c r="K118" s="71"/>
      <c r="L118" s="16">
        <v>25</v>
      </c>
      <c r="M118" s="16">
        <v>15</v>
      </c>
      <c r="N118" s="16">
        <v>20</v>
      </c>
      <c r="O118" s="16">
        <v>15</v>
      </c>
      <c r="P118" s="20">
        <f>L118+M118+N118+O118</f>
        <v>75</v>
      </c>
      <c r="Q118" s="23" t="str">
        <f>IF(P118&gt;=80,"✅ High Quality",IF(P118&gt;=60,"🟡 Acceptable",IF(P118&gt;=40,"⚠️ Use with Caution","🔴 Insufficient")))</f>
        <v>🟡 Acceptable</v>
      </c>
      <c r="R118" s="82"/>
    </row>
    <row r="119" spans="1:18" ht="46" customHeight="1" x14ac:dyDescent="0.2">
      <c r="A119" s="13"/>
      <c r="B119" s="13" t="s">
        <v>279</v>
      </c>
      <c r="C119" s="22" t="s">
        <v>280</v>
      </c>
      <c r="D119" s="23" t="s">
        <v>538</v>
      </c>
      <c r="E119" s="73">
        <v>2685509</v>
      </c>
      <c r="F119" s="74" t="s">
        <v>526</v>
      </c>
      <c r="G119" s="24" t="s">
        <v>281</v>
      </c>
      <c r="H119" s="18">
        <v>2021</v>
      </c>
      <c r="I119" s="133" t="s">
        <v>282</v>
      </c>
      <c r="J119" s="78" t="s">
        <v>286</v>
      </c>
      <c r="K119" s="71"/>
      <c r="L119" s="16">
        <v>25</v>
      </c>
      <c r="M119" s="16">
        <v>15</v>
      </c>
      <c r="N119" s="16">
        <v>5</v>
      </c>
      <c r="O119" s="16">
        <v>15</v>
      </c>
      <c r="P119" s="20">
        <f>L119+M119+N119+O119</f>
        <v>60</v>
      </c>
      <c r="Q119" s="23" t="str">
        <f>IF(P119&gt;=80,"✅ High Quality",IF(P119&gt;=60,"🟡 Acceptable",IF(P119&gt;=40,"⚠️ Use with Caution","🔴 Insufficient")))</f>
        <v>🟡 Acceptable</v>
      </c>
      <c r="R119" s="82"/>
    </row>
    <row r="120" spans="1:18" ht="46" customHeight="1" x14ac:dyDescent="0.2">
      <c r="A120" s="13"/>
      <c r="B120" s="13" t="s">
        <v>279</v>
      </c>
      <c r="C120" s="14" t="s">
        <v>280</v>
      </c>
      <c r="D120" s="15" t="s">
        <v>539</v>
      </c>
      <c r="E120" s="73">
        <v>2968004</v>
      </c>
      <c r="F120" s="74" t="s">
        <v>526</v>
      </c>
      <c r="G120" s="17" t="s">
        <v>281</v>
      </c>
      <c r="H120" s="18">
        <v>2019</v>
      </c>
      <c r="I120" s="133" t="s">
        <v>282</v>
      </c>
      <c r="J120" s="78" t="s">
        <v>564</v>
      </c>
      <c r="K120" s="71"/>
      <c r="L120" s="16">
        <v>25</v>
      </c>
      <c r="M120" s="16">
        <v>15</v>
      </c>
      <c r="N120" s="16">
        <v>5</v>
      </c>
      <c r="O120" s="16">
        <v>15</v>
      </c>
      <c r="P120" s="20">
        <f>L120+M120+N120+O120</f>
        <v>60</v>
      </c>
      <c r="Q120" s="15" t="str">
        <f>IF(P120&gt;=80,"✅ High Quality",IF(P120&gt;=60,"🟡 Acceptable",IF(P120&gt;=40,"⚠️ Use with Caution","🔴 Insufficient")))</f>
        <v>🟡 Acceptable</v>
      </c>
      <c r="R120" s="82"/>
    </row>
    <row r="121" spans="1:18" ht="46" customHeight="1" x14ac:dyDescent="0.2">
      <c r="A121" s="13"/>
      <c r="B121" s="13" t="s">
        <v>279</v>
      </c>
      <c r="C121" s="22" t="s">
        <v>280</v>
      </c>
      <c r="D121" s="23" t="s">
        <v>538</v>
      </c>
      <c r="E121" s="73">
        <v>2968004</v>
      </c>
      <c r="F121" s="74" t="s">
        <v>526</v>
      </c>
      <c r="G121" s="24" t="s">
        <v>281</v>
      </c>
      <c r="H121" s="18">
        <v>2019</v>
      </c>
      <c r="I121" s="133" t="s">
        <v>282</v>
      </c>
      <c r="J121" s="78" t="s">
        <v>564</v>
      </c>
      <c r="K121" s="71"/>
      <c r="L121" s="16">
        <v>25</v>
      </c>
      <c r="M121" s="16">
        <v>15</v>
      </c>
      <c r="N121" s="16">
        <v>5</v>
      </c>
      <c r="O121" s="16">
        <v>15</v>
      </c>
      <c r="P121" s="20">
        <f>L121+M121+N121+O121</f>
        <v>60</v>
      </c>
      <c r="Q121" s="23" t="str">
        <f>IF(P121&gt;=80,"✅ High Quality",IF(P121&gt;=60,"🟡 Acceptable",IF(P121&gt;=40,"⚠️ Use with Caution","🔴 Insufficient")))</f>
        <v>🟡 Acceptable</v>
      </c>
      <c r="R121" s="82"/>
    </row>
    <row r="122" spans="1:18" ht="46" customHeight="1" x14ac:dyDescent="0.2">
      <c r="A122" s="13"/>
      <c r="B122" s="13" t="s">
        <v>279</v>
      </c>
      <c r="C122" s="22" t="s">
        <v>280</v>
      </c>
      <c r="D122" s="23" t="s">
        <v>538</v>
      </c>
      <c r="E122" s="73">
        <v>3027961</v>
      </c>
      <c r="F122" s="74" t="s">
        <v>526</v>
      </c>
      <c r="G122" s="24" t="s">
        <v>281</v>
      </c>
      <c r="H122" s="18">
        <v>2020</v>
      </c>
      <c r="I122" s="133" t="s">
        <v>282</v>
      </c>
      <c r="J122" s="78" t="s">
        <v>287</v>
      </c>
      <c r="K122" s="71"/>
      <c r="L122" s="16">
        <v>25</v>
      </c>
      <c r="M122" s="16">
        <v>15</v>
      </c>
      <c r="N122" s="16">
        <v>5</v>
      </c>
      <c r="O122" s="16">
        <v>15</v>
      </c>
      <c r="P122" s="20">
        <f>L122+M122+N122+O122</f>
        <v>60</v>
      </c>
      <c r="Q122" s="23" t="str">
        <f>IF(P122&gt;=80,"✅ High Quality",IF(P122&gt;=60,"🟡 Acceptable",IF(P122&gt;=40,"⚠️ Use with Caution","🔴 Insufficient")))</f>
        <v>🟡 Acceptable</v>
      </c>
      <c r="R122" s="82"/>
    </row>
    <row r="123" spans="1:18" ht="46" customHeight="1" x14ac:dyDescent="0.2">
      <c r="A123" s="13"/>
      <c r="B123" s="13" t="s">
        <v>279</v>
      </c>
      <c r="C123" s="22" t="s">
        <v>280</v>
      </c>
      <c r="D123" s="23" t="s">
        <v>544</v>
      </c>
      <c r="E123" s="73">
        <v>3989000</v>
      </c>
      <c r="F123" s="74" t="s">
        <v>296</v>
      </c>
      <c r="G123" s="24" t="s">
        <v>281</v>
      </c>
      <c r="H123" s="18">
        <v>2024</v>
      </c>
      <c r="I123" s="133" t="s">
        <v>282</v>
      </c>
      <c r="J123" s="78" t="s">
        <v>564</v>
      </c>
      <c r="K123" s="71"/>
      <c r="L123" s="16">
        <v>25</v>
      </c>
      <c r="M123" s="16">
        <v>15</v>
      </c>
      <c r="N123" s="16">
        <v>25</v>
      </c>
      <c r="O123" s="16">
        <v>15</v>
      </c>
      <c r="P123" s="20">
        <f>L123+M123+N123+O123</f>
        <v>80</v>
      </c>
      <c r="Q123" s="23" t="str">
        <f>IF(P123&gt;=80,"✅ High Quality",IF(P123&gt;=60,"🟡 Acceptable",IF(P123&gt;=40,"⚠️ Use with Caution","🔴 Insufficient")))</f>
        <v>✅ High Quality</v>
      </c>
      <c r="R123" s="82"/>
    </row>
    <row r="124" spans="1:18" ht="46" customHeight="1" x14ac:dyDescent="0.2">
      <c r="A124" s="13"/>
      <c r="B124" s="13" t="s">
        <v>279</v>
      </c>
      <c r="C124" s="22" t="s">
        <v>280</v>
      </c>
      <c r="D124" s="23" t="s">
        <v>544</v>
      </c>
      <c r="E124" s="73">
        <v>4000000</v>
      </c>
      <c r="F124" s="74" t="s">
        <v>296</v>
      </c>
      <c r="G124" s="24" t="s">
        <v>281</v>
      </c>
      <c r="H124" s="18">
        <v>2023</v>
      </c>
      <c r="I124" s="133" t="s">
        <v>282</v>
      </c>
      <c r="J124" s="78" t="s">
        <v>565</v>
      </c>
      <c r="K124" s="71"/>
      <c r="L124" s="16">
        <v>25</v>
      </c>
      <c r="M124" s="16">
        <v>15</v>
      </c>
      <c r="N124" s="16">
        <v>25</v>
      </c>
      <c r="O124" s="16">
        <v>15</v>
      </c>
      <c r="P124" s="20">
        <f>L124+M124+N124+O124</f>
        <v>80</v>
      </c>
      <c r="Q124" s="23" t="str">
        <f>IF(P124&gt;=80,"✅ High Quality",IF(P124&gt;=60,"🟡 Acceptable",IF(P124&gt;=40,"⚠️ Use with Caution","🔴 Insufficient")))</f>
        <v>✅ High Quality</v>
      </c>
      <c r="R124" s="82"/>
    </row>
    <row r="125" spans="1:18" ht="46" customHeight="1" x14ac:dyDescent="0.2">
      <c r="A125" s="13"/>
      <c r="B125" s="13" t="s">
        <v>279</v>
      </c>
      <c r="C125" s="22" t="s">
        <v>280</v>
      </c>
      <c r="D125" s="23" t="s">
        <v>544</v>
      </c>
      <c r="E125" s="73">
        <v>4066000</v>
      </c>
      <c r="F125" s="74" t="s">
        <v>296</v>
      </c>
      <c r="G125" s="24" t="s">
        <v>281</v>
      </c>
      <c r="H125" s="18">
        <v>2019</v>
      </c>
      <c r="I125" s="133" t="s">
        <v>282</v>
      </c>
      <c r="J125" s="78" t="s">
        <v>568</v>
      </c>
      <c r="K125" s="71"/>
      <c r="L125" s="16">
        <v>25</v>
      </c>
      <c r="M125" s="16">
        <v>15</v>
      </c>
      <c r="N125" s="16">
        <v>5</v>
      </c>
      <c r="O125" s="16">
        <v>15</v>
      </c>
      <c r="P125" s="20">
        <f>L125+M125+N125+O125</f>
        <v>60</v>
      </c>
      <c r="Q125" s="23" t="str">
        <f>IF(P125&gt;=80,"✅ High Quality",IF(P125&gt;=60,"🟡 Acceptable",IF(P125&gt;=40,"⚠️ Use with Caution","🔴 Insufficient")))</f>
        <v>🟡 Acceptable</v>
      </c>
      <c r="R125" s="82"/>
    </row>
    <row r="126" spans="1:18" ht="46" customHeight="1" x14ac:dyDescent="0.2">
      <c r="A126" s="13"/>
      <c r="B126" s="13" t="s">
        <v>279</v>
      </c>
      <c r="C126" s="22" t="s">
        <v>280</v>
      </c>
      <c r="D126" s="23" t="s">
        <v>544</v>
      </c>
      <c r="E126" s="73">
        <v>4073000</v>
      </c>
      <c r="F126" s="74" t="s">
        <v>296</v>
      </c>
      <c r="G126" s="24" t="s">
        <v>281</v>
      </c>
      <c r="H126" s="18">
        <v>2020</v>
      </c>
      <c r="I126" s="133" t="s">
        <v>282</v>
      </c>
      <c r="J126" s="78" t="s">
        <v>567</v>
      </c>
      <c r="K126" s="71"/>
      <c r="L126" s="16">
        <v>25</v>
      </c>
      <c r="M126" s="16">
        <v>15</v>
      </c>
      <c r="N126" s="16">
        <v>5</v>
      </c>
      <c r="O126" s="16">
        <v>15</v>
      </c>
      <c r="P126" s="20">
        <f>L126+M126+N126+O126</f>
        <v>60</v>
      </c>
      <c r="Q126" s="23" t="str">
        <f>IF(P126&gt;=80,"✅ High Quality",IF(P126&gt;=60,"🟡 Acceptable",IF(P126&gt;=40,"⚠️ Use with Caution","🔴 Insufficient")))</f>
        <v>🟡 Acceptable</v>
      </c>
      <c r="R126" s="82"/>
    </row>
    <row r="127" spans="1:18" ht="46" customHeight="1" x14ac:dyDescent="0.2">
      <c r="A127" s="13"/>
      <c r="B127" s="13" t="s">
        <v>279</v>
      </c>
      <c r="C127" s="22" t="s">
        <v>280</v>
      </c>
      <c r="D127" s="23" t="s">
        <v>544</v>
      </c>
      <c r="E127" s="73">
        <v>4176000</v>
      </c>
      <c r="F127" s="74" t="s">
        <v>296</v>
      </c>
      <c r="G127" s="24" t="s">
        <v>281</v>
      </c>
      <c r="H127" s="18">
        <v>2021</v>
      </c>
      <c r="I127" s="133" t="s">
        <v>282</v>
      </c>
      <c r="J127" s="78" t="s">
        <v>567</v>
      </c>
      <c r="K127" s="71"/>
      <c r="L127" s="16">
        <v>25</v>
      </c>
      <c r="M127" s="16">
        <v>15</v>
      </c>
      <c r="N127" s="16">
        <v>5</v>
      </c>
      <c r="O127" s="16">
        <v>15</v>
      </c>
      <c r="P127" s="20">
        <f>L127+M127+N127+O127</f>
        <v>60</v>
      </c>
      <c r="Q127" s="23" t="str">
        <f>IF(P127&gt;=80,"✅ High Quality",IF(P127&gt;=60,"🟡 Acceptable",IF(P127&gt;=40,"⚠️ Use with Caution","🔴 Insufficient")))</f>
        <v>🟡 Acceptable</v>
      </c>
      <c r="R127" s="82"/>
    </row>
    <row r="128" spans="1:18" ht="46" customHeight="1" x14ac:dyDescent="0.2">
      <c r="A128" s="13"/>
      <c r="B128" s="13" t="s">
        <v>279</v>
      </c>
      <c r="C128" s="22" t="s">
        <v>280</v>
      </c>
      <c r="D128" s="23" t="s">
        <v>544</v>
      </c>
      <c r="E128" s="97">
        <v>4195000</v>
      </c>
      <c r="F128" s="74" t="s">
        <v>296</v>
      </c>
      <c r="G128" s="24" t="s">
        <v>281</v>
      </c>
      <c r="H128" s="18">
        <v>2022</v>
      </c>
      <c r="I128" s="133" t="s">
        <v>282</v>
      </c>
      <c r="J128" s="78" t="s">
        <v>566</v>
      </c>
      <c r="K128" s="71"/>
      <c r="L128" s="16">
        <v>25</v>
      </c>
      <c r="M128" s="16">
        <v>15</v>
      </c>
      <c r="N128" s="16">
        <v>20</v>
      </c>
      <c r="O128" s="16">
        <v>15</v>
      </c>
      <c r="P128" s="20">
        <f>L128+M128+N128+O128</f>
        <v>75</v>
      </c>
      <c r="Q128" s="23" t="str">
        <f>IF(P128&gt;=80,"✅ High Quality",IF(P128&gt;=60,"🟡 Acceptable",IF(P128&gt;=40,"⚠️ Use with Caution","🔴 Insufficient")))</f>
        <v>🟡 Acceptable</v>
      </c>
      <c r="R128" s="82"/>
    </row>
    <row r="129" spans="1:18" ht="46" customHeight="1" x14ac:dyDescent="0.2">
      <c r="A129" s="13"/>
      <c r="B129" s="13" t="s">
        <v>279</v>
      </c>
      <c r="C129" s="83" t="s">
        <v>562</v>
      </c>
      <c r="D129" s="23" t="s">
        <v>563</v>
      </c>
      <c r="E129" s="73">
        <v>4570757</v>
      </c>
      <c r="F129" s="74" t="s">
        <v>526</v>
      </c>
      <c r="G129" s="24" t="s">
        <v>546</v>
      </c>
      <c r="H129" s="18">
        <v>2024</v>
      </c>
      <c r="I129" s="133" t="s">
        <v>282</v>
      </c>
      <c r="J129" s="78" t="s">
        <v>564</v>
      </c>
      <c r="K129" s="71"/>
      <c r="L129" s="16">
        <v>25</v>
      </c>
      <c r="M129" s="16">
        <v>15</v>
      </c>
      <c r="N129" s="16">
        <v>25</v>
      </c>
      <c r="O129" s="16">
        <v>15</v>
      </c>
      <c r="P129" s="20">
        <f>L129+M129+N129+O129</f>
        <v>80</v>
      </c>
      <c r="Q129" s="23" t="str">
        <f>IF(P129&gt;=80,"✅ High Quality",IF(P129&gt;=60,"🟡 Acceptable",IF(P129&gt;=40,"⚠️ Use with Caution","🔴 Insufficient")))</f>
        <v>✅ High Quality</v>
      </c>
      <c r="R129" s="82"/>
    </row>
    <row r="130" spans="1:18" ht="46" customHeight="1" x14ac:dyDescent="0.2">
      <c r="A130" s="13"/>
      <c r="B130" s="13" t="s">
        <v>279</v>
      </c>
      <c r="C130" s="83" t="s">
        <v>562</v>
      </c>
      <c r="D130" s="23" t="s">
        <v>563</v>
      </c>
      <c r="E130" s="73">
        <v>4757773</v>
      </c>
      <c r="F130" s="74" t="s">
        <v>526</v>
      </c>
      <c r="G130" s="24" t="s">
        <v>546</v>
      </c>
      <c r="H130" s="18">
        <v>2023</v>
      </c>
      <c r="I130" s="133" t="s">
        <v>282</v>
      </c>
      <c r="J130" s="78" t="s">
        <v>284</v>
      </c>
      <c r="K130" s="71"/>
      <c r="L130" s="16">
        <v>25</v>
      </c>
      <c r="M130" s="16">
        <v>15</v>
      </c>
      <c r="N130" s="16">
        <v>25</v>
      </c>
      <c r="O130" s="16">
        <v>15</v>
      </c>
      <c r="P130" s="20">
        <f>L130+M130+N130+O130</f>
        <v>80</v>
      </c>
      <c r="Q130" s="23" t="str">
        <f>IF(P130&gt;=80,"✅ High Quality",IF(P130&gt;=60,"🟡 Acceptable",IF(P130&gt;=40,"⚠️ Use with Caution","🔴 Insufficient")))</f>
        <v>✅ High Quality</v>
      </c>
      <c r="R130" s="82"/>
    </row>
    <row r="131" spans="1:18" ht="46" customHeight="1" x14ac:dyDescent="0.2">
      <c r="A131" s="13"/>
      <c r="B131" s="13" t="s">
        <v>279</v>
      </c>
      <c r="C131" s="83" t="s">
        <v>562</v>
      </c>
      <c r="D131" s="23" t="s">
        <v>563</v>
      </c>
      <c r="E131" s="73">
        <v>5300000</v>
      </c>
      <c r="F131" s="74" t="s">
        <v>526</v>
      </c>
      <c r="G131" s="24" t="s">
        <v>546</v>
      </c>
      <c r="H131" s="18">
        <v>2020</v>
      </c>
      <c r="I131" s="133" t="s">
        <v>282</v>
      </c>
      <c r="J131" s="78" t="s">
        <v>287</v>
      </c>
      <c r="K131" s="71"/>
      <c r="L131" s="16">
        <v>25</v>
      </c>
      <c r="M131" s="16">
        <v>15</v>
      </c>
      <c r="N131" s="16">
        <v>5</v>
      </c>
      <c r="O131" s="16">
        <v>15</v>
      </c>
      <c r="P131" s="20">
        <f>L131+M131+N131+O131</f>
        <v>60</v>
      </c>
      <c r="Q131" s="23" t="str">
        <f>IF(P131&gt;=80,"✅ High Quality",IF(P131&gt;=60,"🟡 Acceptable",IF(P131&gt;=40,"⚠️ Use with Caution","🔴 Insufficient")))</f>
        <v>🟡 Acceptable</v>
      </c>
      <c r="R131" s="82"/>
    </row>
    <row r="132" spans="1:18" ht="46" customHeight="1" x14ac:dyDescent="0.2">
      <c r="A132" s="13"/>
      <c r="B132" s="13" t="s">
        <v>279</v>
      </c>
      <c r="C132" s="83" t="s">
        <v>562</v>
      </c>
      <c r="D132" s="23" t="s">
        <v>563</v>
      </c>
      <c r="E132" s="73">
        <v>5432613</v>
      </c>
      <c r="F132" s="74" t="s">
        <v>526</v>
      </c>
      <c r="G132" s="24" t="s">
        <v>546</v>
      </c>
      <c r="H132" s="18">
        <v>2019</v>
      </c>
      <c r="I132" s="133" t="s">
        <v>282</v>
      </c>
      <c r="J132" s="78" t="s">
        <v>564</v>
      </c>
      <c r="K132" s="71"/>
      <c r="L132" s="16">
        <v>25</v>
      </c>
      <c r="M132" s="16">
        <v>15</v>
      </c>
      <c r="N132" s="16">
        <v>5</v>
      </c>
      <c r="O132" s="16">
        <v>15</v>
      </c>
      <c r="P132" s="20">
        <f>L132+M132+N132+O132</f>
        <v>60</v>
      </c>
      <c r="Q132" s="23" t="str">
        <f>IF(P132&gt;=80,"✅ High Quality",IF(P132&gt;=60,"🟡 Acceptable",IF(P132&gt;=40,"⚠️ Use with Caution","🔴 Insufficient")))</f>
        <v>🟡 Acceptable</v>
      </c>
      <c r="R132" s="82"/>
    </row>
    <row r="133" spans="1:18" ht="46" customHeight="1" x14ac:dyDescent="0.2">
      <c r="A133" s="13"/>
      <c r="B133" s="13" t="s">
        <v>279</v>
      </c>
      <c r="C133" s="83" t="s">
        <v>562</v>
      </c>
      <c r="D133" s="23" t="s">
        <v>563</v>
      </c>
      <c r="E133" s="73">
        <v>5500000</v>
      </c>
      <c r="F133" s="74" t="s">
        <v>526</v>
      </c>
      <c r="G133" s="24" t="s">
        <v>546</v>
      </c>
      <c r="H133" s="18">
        <v>2022</v>
      </c>
      <c r="I133" s="133" t="s">
        <v>282</v>
      </c>
      <c r="J133" s="78" t="s">
        <v>285</v>
      </c>
      <c r="K133" s="71"/>
      <c r="L133" s="16">
        <v>25</v>
      </c>
      <c r="M133" s="16">
        <v>15</v>
      </c>
      <c r="N133" s="16">
        <v>20</v>
      </c>
      <c r="O133" s="16">
        <v>15</v>
      </c>
      <c r="P133" s="20">
        <f>L133+M133+N133+O133</f>
        <v>75</v>
      </c>
      <c r="Q133" s="23" t="str">
        <f>IF(P133&gt;=80,"✅ High Quality",IF(P133&gt;=60,"🟡 Acceptable",IF(P133&gt;=40,"⚠️ Use with Caution","🔴 Insufficient")))</f>
        <v>🟡 Acceptable</v>
      </c>
      <c r="R133" s="82"/>
    </row>
    <row r="134" spans="1:18" ht="46" customHeight="1" x14ac:dyDescent="0.2">
      <c r="A134" s="13"/>
      <c r="B134" s="13" t="s">
        <v>279</v>
      </c>
      <c r="C134" s="83" t="s">
        <v>562</v>
      </c>
      <c r="D134" s="23" t="s">
        <v>563</v>
      </c>
      <c r="E134" s="73">
        <v>5600000</v>
      </c>
      <c r="F134" s="74" t="s">
        <v>526</v>
      </c>
      <c r="G134" s="24" t="s">
        <v>546</v>
      </c>
      <c r="H134" s="18">
        <v>2021</v>
      </c>
      <c r="I134" s="133" t="s">
        <v>282</v>
      </c>
      <c r="J134" s="78" t="s">
        <v>286</v>
      </c>
      <c r="K134" s="71"/>
      <c r="L134" s="16">
        <v>25</v>
      </c>
      <c r="M134" s="16">
        <v>15</v>
      </c>
      <c r="N134" s="16">
        <v>5</v>
      </c>
      <c r="O134" s="16">
        <v>15</v>
      </c>
      <c r="P134" s="20">
        <f>L134+M134+N134+O134</f>
        <v>60</v>
      </c>
      <c r="Q134" s="23" t="str">
        <f>IF(P134&gt;=80,"✅ High Quality",IF(P134&gt;=60,"🟡 Acceptable",IF(P134&gt;=40,"⚠️ Use with Caution","🔴 Insufficient")))</f>
        <v>🟡 Acceptable</v>
      </c>
      <c r="R134" s="82"/>
    </row>
    <row r="135" spans="1:18" ht="46" customHeight="1" x14ac:dyDescent="0.2">
      <c r="A135" s="13"/>
      <c r="B135" s="13" t="s">
        <v>279</v>
      </c>
      <c r="C135" s="14" t="s">
        <v>280</v>
      </c>
      <c r="D135" s="15" t="s">
        <v>540</v>
      </c>
      <c r="E135" s="97">
        <v>5674000</v>
      </c>
      <c r="F135" s="74" t="s">
        <v>526</v>
      </c>
      <c r="G135" s="17" t="s">
        <v>281</v>
      </c>
      <c r="H135" s="18">
        <v>2024</v>
      </c>
      <c r="I135" s="133" t="s">
        <v>282</v>
      </c>
      <c r="J135" s="78" t="s">
        <v>564</v>
      </c>
      <c r="K135" s="71"/>
      <c r="L135" s="16">
        <v>25</v>
      </c>
      <c r="M135" s="16">
        <v>15</v>
      </c>
      <c r="N135" s="16">
        <v>25</v>
      </c>
      <c r="O135" s="16">
        <v>15</v>
      </c>
      <c r="P135" s="20">
        <f>L135+M135+N135+O135</f>
        <v>80</v>
      </c>
      <c r="Q135" s="15" t="str">
        <f>IF(P135&gt;=80,"✅ High Quality",IF(P135&gt;=60,"🟡 Acceptable",IF(P135&gt;=40,"⚠️ Use with Caution","🔴 Insufficient")))</f>
        <v>✅ High Quality</v>
      </c>
      <c r="R135" s="82"/>
    </row>
    <row r="136" spans="1:18" ht="46" customHeight="1" x14ac:dyDescent="0.2">
      <c r="A136" s="13"/>
      <c r="B136" s="13" t="s">
        <v>279</v>
      </c>
      <c r="C136" s="14" t="s">
        <v>280</v>
      </c>
      <c r="D136" s="15" t="s">
        <v>540</v>
      </c>
      <c r="E136" s="73">
        <v>5997083</v>
      </c>
      <c r="F136" s="74" t="s">
        <v>526</v>
      </c>
      <c r="G136" s="17" t="s">
        <v>281</v>
      </c>
      <c r="H136" s="18">
        <v>2023</v>
      </c>
      <c r="I136" s="133" t="s">
        <v>282</v>
      </c>
      <c r="J136" s="78" t="s">
        <v>284</v>
      </c>
      <c r="K136" s="71"/>
      <c r="L136" s="16">
        <v>25</v>
      </c>
      <c r="M136" s="16">
        <v>15</v>
      </c>
      <c r="N136" s="16">
        <v>25</v>
      </c>
      <c r="O136" s="16">
        <v>15</v>
      </c>
      <c r="P136" s="20">
        <f>L136+M136+N136+O136</f>
        <v>80</v>
      </c>
      <c r="Q136" s="15" t="str">
        <f>IF(P136&gt;=80,"✅ High Quality",IF(P136&gt;=60,"🟡 Acceptable",IF(P136&gt;=40,"⚠️ Use with Caution","🔴 Insufficient")))</f>
        <v>✅ High Quality</v>
      </c>
      <c r="R136" s="82"/>
    </row>
    <row r="137" spans="1:18" ht="46" customHeight="1" x14ac:dyDescent="0.2">
      <c r="A137" s="13"/>
      <c r="B137" s="13" t="s">
        <v>279</v>
      </c>
      <c r="C137" s="83" t="s">
        <v>562</v>
      </c>
      <c r="D137" s="23" t="s">
        <v>563</v>
      </c>
      <c r="E137" s="73">
        <v>6170000</v>
      </c>
      <c r="F137" s="74" t="s">
        <v>296</v>
      </c>
      <c r="G137" s="24" t="s">
        <v>546</v>
      </c>
      <c r="H137" s="18">
        <v>2019</v>
      </c>
      <c r="I137" s="133" t="s">
        <v>282</v>
      </c>
      <c r="J137" s="78" t="s">
        <v>568</v>
      </c>
      <c r="K137" s="71"/>
      <c r="L137" s="16">
        <v>25</v>
      </c>
      <c r="M137" s="16">
        <v>15</v>
      </c>
      <c r="N137" s="16">
        <v>5</v>
      </c>
      <c r="O137" s="16">
        <v>15</v>
      </c>
      <c r="P137" s="20">
        <f>L137+M137+N137+O137</f>
        <v>60</v>
      </c>
      <c r="Q137" s="23" t="str">
        <f>IF(P137&gt;=80,"✅ High Quality",IF(P137&gt;=60,"🟡 Acceptable",IF(P137&gt;=40,"⚠️ Use with Caution","🔴 Insufficient")))</f>
        <v>🟡 Acceptable</v>
      </c>
      <c r="R137" s="82"/>
    </row>
    <row r="138" spans="1:18" ht="46" customHeight="1" x14ac:dyDescent="0.2">
      <c r="A138" s="13"/>
      <c r="B138" s="13" t="s">
        <v>279</v>
      </c>
      <c r="C138" s="14" t="s">
        <v>280</v>
      </c>
      <c r="D138" s="15" t="s">
        <v>540</v>
      </c>
      <c r="E138" s="73">
        <v>6178533</v>
      </c>
      <c r="F138" s="74" t="s">
        <v>526</v>
      </c>
      <c r="G138" s="17" t="s">
        <v>281</v>
      </c>
      <c r="H138" s="18">
        <v>2020</v>
      </c>
      <c r="I138" s="133" t="s">
        <v>282</v>
      </c>
      <c r="J138" s="78" t="s">
        <v>287</v>
      </c>
      <c r="K138" s="71"/>
      <c r="L138" s="16">
        <v>25</v>
      </c>
      <c r="M138" s="16">
        <v>15</v>
      </c>
      <c r="N138" s="16">
        <v>5</v>
      </c>
      <c r="O138" s="16">
        <v>15</v>
      </c>
      <c r="P138" s="20">
        <f>L138+M138+N138+O138</f>
        <v>60</v>
      </c>
      <c r="Q138" s="15" t="str">
        <f>IF(P138&gt;=80,"✅ High Quality",IF(P138&gt;=60,"🟡 Acceptable",IF(P138&gt;=40,"⚠️ Use with Caution","🔴 Insufficient")))</f>
        <v>🟡 Acceptable</v>
      </c>
      <c r="R138" s="82"/>
    </row>
    <row r="139" spans="1:18" ht="46" customHeight="1" x14ac:dyDescent="0.2">
      <c r="A139" s="13"/>
      <c r="B139" s="13" t="s">
        <v>279</v>
      </c>
      <c r="C139" s="83" t="s">
        <v>562</v>
      </c>
      <c r="D139" s="23" t="s">
        <v>563</v>
      </c>
      <c r="E139" s="73">
        <v>6267000</v>
      </c>
      <c r="F139" s="74" t="s">
        <v>296</v>
      </c>
      <c r="G139" s="24" t="s">
        <v>546</v>
      </c>
      <c r="H139" s="18">
        <v>2020</v>
      </c>
      <c r="I139" s="133" t="s">
        <v>282</v>
      </c>
      <c r="J139" s="78" t="s">
        <v>567</v>
      </c>
      <c r="K139" s="71"/>
      <c r="L139" s="16">
        <v>25</v>
      </c>
      <c r="M139" s="16">
        <v>15</v>
      </c>
      <c r="N139" s="16">
        <v>5</v>
      </c>
      <c r="O139" s="16">
        <v>15</v>
      </c>
      <c r="P139" s="20">
        <f>L139+M139+N139+O139</f>
        <v>60</v>
      </c>
      <c r="Q139" s="23" t="str">
        <f>IF(P139&gt;=80,"✅ High Quality",IF(P139&gt;=60,"🟡 Acceptable",IF(P139&gt;=40,"⚠️ Use with Caution","🔴 Insufficient")))</f>
        <v>🟡 Acceptable</v>
      </c>
      <c r="R139" s="82"/>
    </row>
    <row r="140" spans="1:18" ht="46" customHeight="1" x14ac:dyDescent="0.2">
      <c r="A140" s="13"/>
      <c r="B140" s="13" t="s">
        <v>279</v>
      </c>
      <c r="C140" s="14" t="s">
        <v>280</v>
      </c>
      <c r="D140" s="15" t="s">
        <v>540</v>
      </c>
      <c r="E140" s="73">
        <v>6273921</v>
      </c>
      <c r="F140" s="74" t="s">
        <v>526</v>
      </c>
      <c r="G140" s="17" t="s">
        <v>281</v>
      </c>
      <c r="H140" s="18">
        <v>2022</v>
      </c>
      <c r="I140" s="133" t="s">
        <v>282</v>
      </c>
      <c r="J140" s="78" t="s">
        <v>285</v>
      </c>
      <c r="K140" s="71"/>
      <c r="L140" s="16">
        <v>25</v>
      </c>
      <c r="M140" s="16">
        <v>15</v>
      </c>
      <c r="N140" s="16">
        <v>20</v>
      </c>
      <c r="O140" s="16">
        <v>15</v>
      </c>
      <c r="P140" s="20">
        <f>L140+M140+N140+O140</f>
        <v>75</v>
      </c>
      <c r="Q140" s="15" t="str">
        <f>IF(P140&gt;=80,"✅ High Quality",IF(P140&gt;=60,"🟡 Acceptable",IF(P140&gt;=40,"⚠️ Use with Caution","🔴 Insufficient")))</f>
        <v>🟡 Acceptable</v>
      </c>
      <c r="R140" s="82"/>
    </row>
    <row r="141" spans="1:18" ht="46" customHeight="1" x14ac:dyDescent="0.2">
      <c r="A141" s="13"/>
      <c r="B141" s="13" t="s">
        <v>279</v>
      </c>
      <c r="C141" s="14" t="s">
        <v>280</v>
      </c>
      <c r="D141" s="15" t="s">
        <v>540</v>
      </c>
      <c r="E141" s="73">
        <v>6411167</v>
      </c>
      <c r="F141" s="74" t="s">
        <v>526</v>
      </c>
      <c r="G141" s="17" t="s">
        <v>281</v>
      </c>
      <c r="H141" s="18">
        <v>2019</v>
      </c>
      <c r="I141" s="133" t="s">
        <v>282</v>
      </c>
      <c r="J141" s="78" t="s">
        <v>564</v>
      </c>
      <c r="K141" s="71"/>
      <c r="L141" s="16">
        <v>25</v>
      </c>
      <c r="M141" s="16">
        <v>15</v>
      </c>
      <c r="N141" s="16">
        <v>5</v>
      </c>
      <c r="O141" s="16">
        <v>15</v>
      </c>
      <c r="P141" s="20">
        <f>L141+M141+N141+O141</f>
        <v>60</v>
      </c>
      <c r="Q141" s="15" t="str">
        <f>IF(P141&gt;=80,"✅ High Quality",IF(P141&gt;=60,"🟡 Acceptable",IF(P141&gt;=40,"⚠️ Use with Caution","🔴 Insufficient")))</f>
        <v>🟡 Acceptable</v>
      </c>
      <c r="R141" s="82"/>
    </row>
    <row r="142" spans="1:18" ht="46" customHeight="1" x14ac:dyDescent="0.2">
      <c r="A142" s="13"/>
      <c r="B142" s="13" t="s">
        <v>279</v>
      </c>
      <c r="C142" s="83" t="s">
        <v>562</v>
      </c>
      <c r="D142" s="23" t="s">
        <v>563</v>
      </c>
      <c r="E142" s="73">
        <v>6493000</v>
      </c>
      <c r="F142" s="74" t="s">
        <v>296</v>
      </c>
      <c r="G142" s="24" t="s">
        <v>546</v>
      </c>
      <c r="H142" s="18">
        <v>2023</v>
      </c>
      <c r="I142" s="133" t="s">
        <v>282</v>
      </c>
      <c r="J142" s="78" t="s">
        <v>565</v>
      </c>
      <c r="K142" s="71"/>
      <c r="L142" s="16">
        <v>25</v>
      </c>
      <c r="M142" s="16">
        <v>15</v>
      </c>
      <c r="N142" s="16">
        <v>25</v>
      </c>
      <c r="O142" s="16">
        <v>15</v>
      </c>
      <c r="P142" s="20">
        <f>L142+M142+N142+O142</f>
        <v>80</v>
      </c>
      <c r="Q142" s="23" t="str">
        <f>IF(P142&gt;=80,"✅ High Quality",IF(P142&gt;=60,"🟡 Acceptable",IF(P142&gt;=40,"⚠️ Use with Caution","🔴 Insufficient")))</f>
        <v>✅ High Quality</v>
      </c>
      <c r="R142" s="82"/>
    </row>
    <row r="143" spans="1:18" ht="46" customHeight="1" x14ac:dyDescent="0.2">
      <c r="A143" s="13"/>
      <c r="B143" s="13" t="s">
        <v>279</v>
      </c>
      <c r="C143" s="83" t="s">
        <v>562</v>
      </c>
      <c r="D143" s="23" t="s">
        <v>563</v>
      </c>
      <c r="E143" s="73">
        <v>6510000</v>
      </c>
      <c r="F143" s="74" t="s">
        <v>296</v>
      </c>
      <c r="G143" s="24" t="s">
        <v>546</v>
      </c>
      <c r="H143" s="18">
        <v>2021</v>
      </c>
      <c r="I143" s="133" t="s">
        <v>282</v>
      </c>
      <c r="J143" s="78" t="s">
        <v>567</v>
      </c>
      <c r="K143" s="71"/>
      <c r="L143" s="16">
        <v>25</v>
      </c>
      <c r="M143" s="16">
        <v>15</v>
      </c>
      <c r="N143" s="16">
        <v>5</v>
      </c>
      <c r="O143" s="16">
        <v>15</v>
      </c>
      <c r="P143" s="20">
        <f>L143+M143+N143+O143</f>
        <v>60</v>
      </c>
      <c r="Q143" s="23" t="str">
        <f>IF(P143&gt;=80,"✅ High Quality",IF(P143&gt;=60,"🟡 Acceptable",IF(P143&gt;=40,"⚠️ Use with Caution","🔴 Insufficient")))</f>
        <v>🟡 Acceptable</v>
      </c>
      <c r="R143" s="82"/>
    </row>
    <row r="144" spans="1:18" ht="46" customHeight="1" x14ac:dyDescent="0.2">
      <c r="A144" s="13"/>
      <c r="B144" s="13" t="s">
        <v>279</v>
      </c>
      <c r="C144" s="14" t="s">
        <v>280</v>
      </c>
      <c r="D144" s="15" t="s">
        <v>540</v>
      </c>
      <c r="E144" s="73">
        <v>6537030</v>
      </c>
      <c r="F144" s="74" t="s">
        <v>526</v>
      </c>
      <c r="G144" s="17" t="s">
        <v>281</v>
      </c>
      <c r="H144" s="18">
        <v>2021</v>
      </c>
      <c r="I144" s="133" t="s">
        <v>282</v>
      </c>
      <c r="J144" s="78" t="s">
        <v>286</v>
      </c>
      <c r="K144" s="71"/>
      <c r="L144" s="16">
        <v>25</v>
      </c>
      <c r="M144" s="16">
        <v>15</v>
      </c>
      <c r="N144" s="16">
        <v>5</v>
      </c>
      <c r="O144" s="16">
        <v>15</v>
      </c>
      <c r="P144" s="20">
        <f>L144+M144+N144+O144</f>
        <v>60</v>
      </c>
      <c r="Q144" s="15" t="str">
        <f>IF(P144&gt;=80,"✅ High Quality",IF(P144&gt;=60,"🟡 Acceptable",IF(P144&gt;=40,"⚠️ Use with Caution","🔴 Insufficient")))</f>
        <v>🟡 Acceptable</v>
      </c>
      <c r="R144" s="82"/>
    </row>
    <row r="145" spans="1:18" ht="46" customHeight="1" x14ac:dyDescent="0.2">
      <c r="A145" s="13"/>
      <c r="B145" s="13" t="s">
        <v>279</v>
      </c>
      <c r="C145" s="83" t="s">
        <v>562</v>
      </c>
      <c r="D145" s="23" t="s">
        <v>563</v>
      </c>
      <c r="E145" s="73">
        <v>6716000</v>
      </c>
      <c r="F145" s="74" t="s">
        <v>296</v>
      </c>
      <c r="G145" s="24" t="s">
        <v>546</v>
      </c>
      <c r="H145" s="18">
        <v>2024</v>
      </c>
      <c r="I145" s="133" t="s">
        <v>282</v>
      </c>
      <c r="J145" s="78" t="s">
        <v>564</v>
      </c>
      <c r="K145" s="71"/>
      <c r="L145" s="16">
        <v>25</v>
      </c>
      <c r="M145" s="16">
        <v>15</v>
      </c>
      <c r="N145" s="16">
        <v>25</v>
      </c>
      <c r="O145" s="16">
        <v>15</v>
      </c>
      <c r="P145" s="20">
        <f>L145+M145+N145+O145</f>
        <v>80</v>
      </c>
      <c r="Q145" s="23" t="str">
        <f>IF(P145&gt;=80,"✅ High Quality",IF(P145&gt;=60,"🟡 Acceptable",IF(P145&gt;=40,"⚠️ Use with Caution","🔴 Insufficient")))</f>
        <v>✅ High Quality</v>
      </c>
      <c r="R145" s="82"/>
    </row>
    <row r="146" spans="1:18" ht="46" customHeight="1" x14ac:dyDescent="0.2">
      <c r="A146" s="13"/>
      <c r="B146" s="13" t="s">
        <v>279</v>
      </c>
      <c r="C146" s="83" t="s">
        <v>562</v>
      </c>
      <c r="D146" s="23" t="s">
        <v>563</v>
      </c>
      <c r="E146" s="73">
        <v>6777000</v>
      </c>
      <c r="F146" s="74" t="s">
        <v>296</v>
      </c>
      <c r="G146" s="24" t="s">
        <v>546</v>
      </c>
      <c r="H146" s="18">
        <v>2022</v>
      </c>
      <c r="I146" s="133" t="s">
        <v>282</v>
      </c>
      <c r="J146" s="78" t="s">
        <v>566</v>
      </c>
      <c r="K146" s="71"/>
      <c r="L146" s="16">
        <v>25</v>
      </c>
      <c r="M146" s="16">
        <v>15</v>
      </c>
      <c r="N146" s="16">
        <v>20</v>
      </c>
      <c r="O146" s="16">
        <v>15</v>
      </c>
      <c r="P146" s="20">
        <f>L146+M146+N146+O146</f>
        <v>75</v>
      </c>
      <c r="Q146" s="23" t="str">
        <f>IF(P146&gt;=80,"✅ High Quality",IF(P146&gt;=60,"🟡 Acceptable",IF(P146&gt;=40,"⚠️ Use with Caution","🔴 Insufficient")))</f>
        <v>🟡 Acceptable</v>
      </c>
      <c r="R146" s="82"/>
    </row>
    <row r="147" spans="1:18" ht="46" customHeight="1" x14ac:dyDescent="0.2">
      <c r="A147" s="13"/>
      <c r="B147" s="13" t="s">
        <v>279</v>
      </c>
      <c r="C147" s="22" t="s">
        <v>280</v>
      </c>
      <c r="D147" s="23" t="s">
        <v>283</v>
      </c>
      <c r="E147" s="73">
        <v>9452000</v>
      </c>
      <c r="F147" s="74" t="s">
        <v>526</v>
      </c>
      <c r="G147" s="24" t="s">
        <v>281</v>
      </c>
      <c r="H147" s="18">
        <v>2024</v>
      </c>
      <c r="I147" s="133" t="s">
        <v>282</v>
      </c>
      <c r="J147" s="78" t="s">
        <v>564</v>
      </c>
      <c r="K147" s="71"/>
      <c r="L147" s="16">
        <v>25</v>
      </c>
      <c r="M147" s="16">
        <v>15</v>
      </c>
      <c r="N147" s="16">
        <v>25</v>
      </c>
      <c r="O147" s="16">
        <v>15</v>
      </c>
      <c r="P147" s="20">
        <f>L147+M147+N147+O147</f>
        <v>80</v>
      </c>
      <c r="Q147" s="23" t="str">
        <f>IF(P147&gt;=80,"✅ High Quality",IF(P147&gt;=60,"🟡 Acceptable",IF(P147&gt;=40,"⚠️ Use with Caution","🔴 Insufficient")))</f>
        <v>✅ High Quality</v>
      </c>
      <c r="R147" s="82"/>
    </row>
    <row r="148" spans="1:18" ht="46" customHeight="1" x14ac:dyDescent="0.2">
      <c r="A148" s="13"/>
      <c r="B148" s="13" t="s">
        <v>279</v>
      </c>
      <c r="C148" s="22" t="s">
        <v>280</v>
      </c>
      <c r="D148" s="23" t="s">
        <v>283</v>
      </c>
      <c r="E148" s="73">
        <v>9653000</v>
      </c>
      <c r="F148" s="74" t="s">
        <v>526</v>
      </c>
      <c r="G148" s="24" t="s">
        <v>281</v>
      </c>
      <c r="H148" s="18">
        <v>2023</v>
      </c>
      <c r="I148" s="133" t="s">
        <v>282</v>
      </c>
      <c r="J148" s="78" t="s">
        <v>284</v>
      </c>
      <c r="K148" s="71"/>
      <c r="L148" s="16">
        <v>25</v>
      </c>
      <c r="M148" s="16">
        <v>15</v>
      </c>
      <c r="N148" s="16">
        <v>25</v>
      </c>
      <c r="O148" s="16">
        <v>15</v>
      </c>
      <c r="P148" s="20">
        <f>L148+M148+N148+O148</f>
        <v>80</v>
      </c>
      <c r="Q148" s="23" t="str">
        <f>IF(P148&gt;=80,"✅ High Quality",IF(P148&gt;=60,"🟡 Acceptable",IF(P148&gt;=40,"⚠️ Use with Caution","🔴 Insufficient")))</f>
        <v>✅ High Quality</v>
      </c>
      <c r="R148" s="82"/>
    </row>
    <row r="149" spans="1:18" ht="46" customHeight="1" x14ac:dyDescent="0.2">
      <c r="A149" s="13"/>
      <c r="B149" s="13" t="s">
        <v>279</v>
      </c>
      <c r="C149" s="22" t="s">
        <v>280</v>
      </c>
      <c r="D149" s="23" t="s">
        <v>283</v>
      </c>
      <c r="E149" s="73">
        <v>11399000</v>
      </c>
      <c r="F149" s="74" t="s">
        <v>526</v>
      </c>
      <c r="G149" s="24" t="s">
        <v>281</v>
      </c>
      <c r="H149" s="18">
        <v>2019</v>
      </c>
      <c r="I149" s="133" t="s">
        <v>282</v>
      </c>
      <c r="J149" s="78" t="s">
        <v>564</v>
      </c>
      <c r="K149" s="71"/>
      <c r="L149" s="16">
        <v>25</v>
      </c>
      <c r="M149" s="16">
        <v>15</v>
      </c>
      <c r="N149" s="16">
        <v>5</v>
      </c>
      <c r="O149" s="16">
        <v>15</v>
      </c>
      <c r="P149" s="20">
        <f>L149+M149+N149+O149</f>
        <v>60</v>
      </c>
      <c r="Q149" s="23" t="str">
        <f>IF(P149&gt;=80,"✅ High Quality",IF(P149&gt;=60,"🟡 Acceptable",IF(P149&gt;=40,"⚠️ Use with Caution","🔴 Insufficient")))</f>
        <v>🟡 Acceptable</v>
      </c>
      <c r="R149" s="82"/>
    </row>
    <row r="150" spans="1:18" ht="46" customHeight="1" x14ac:dyDescent="0.2">
      <c r="A150" s="13"/>
      <c r="B150" s="13" t="s">
        <v>279</v>
      </c>
      <c r="C150" s="22" t="s">
        <v>280</v>
      </c>
      <c r="D150" s="23" t="s">
        <v>544</v>
      </c>
      <c r="E150" s="73">
        <v>15358000</v>
      </c>
      <c r="F150" s="74" t="s">
        <v>526</v>
      </c>
      <c r="G150" s="24" t="s">
        <v>281</v>
      </c>
      <c r="H150" s="18">
        <v>2024</v>
      </c>
      <c r="I150" s="133" t="s">
        <v>282</v>
      </c>
      <c r="J150" s="78" t="s">
        <v>564</v>
      </c>
      <c r="K150" s="71"/>
      <c r="L150" s="16">
        <v>25</v>
      </c>
      <c r="M150" s="16">
        <v>15</v>
      </c>
      <c r="N150" s="16">
        <v>25</v>
      </c>
      <c r="O150" s="16">
        <v>15</v>
      </c>
      <c r="P150" s="20">
        <f>L150+M150+N150+O150</f>
        <v>80</v>
      </c>
      <c r="Q150" s="23" t="str">
        <f>IF(P150&gt;=80,"✅ High Quality",IF(P150&gt;=60,"🟡 Acceptable",IF(P150&gt;=40,"⚠️ Use with Caution","🔴 Insufficient")))</f>
        <v>✅ High Quality</v>
      </c>
      <c r="R150" s="82"/>
    </row>
    <row r="151" spans="1:18" ht="46" customHeight="1" x14ac:dyDescent="0.2">
      <c r="A151" s="13"/>
      <c r="B151" s="13" t="s">
        <v>279</v>
      </c>
      <c r="C151" s="22" t="s">
        <v>280</v>
      </c>
      <c r="D151" s="23" t="s">
        <v>544</v>
      </c>
      <c r="E151" s="73">
        <v>16451000</v>
      </c>
      <c r="F151" s="74" t="s">
        <v>526</v>
      </c>
      <c r="G151" s="24" t="s">
        <v>281</v>
      </c>
      <c r="H151" s="18">
        <v>2023</v>
      </c>
      <c r="I151" s="133" t="s">
        <v>282</v>
      </c>
      <c r="J151" s="78" t="s">
        <v>284</v>
      </c>
      <c r="K151" s="71"/>
      <c r="L151" s="16">
        <v>25</v>
      </c>
      <c r="M151" s="16">
        <v>15</v>
      </c>
      <c r="N151" s="16">
        <v>25</v>
      </c>
      <c r="O151" s="16">
        <v>15</v>
      </c>
      <c r="P151" s="20">
        <f>L151+M151+N151+O151</f>
        <v>80</v>
      </c>
      <c r="Q151" s="23" t="str">
        <f>IF(P151&gt;=80,"✅ High Quality",IF(P151&gt;=60,"🟡 Acceptable",IF(P151&gt;=40,"⚠️ Use with Caution","🔴 Insufficient")))</f>
        <v>✅ High Quality</v>
      </c>
      <c r="R151" s="82"/>
    </row>
    <row r="152" spans="1:18" ht="46" customHeight="1" x14ac:dyDescent="0.2">
      <c r="A152" s="13"/>
      <c r="B152" s="13" t="s">
        <v>279</v>
      </c>
      <c r="C152" s="22" t="s">
        <v>280</v>
      </c>
      <c r="D152" s="23" t="s">
        <v>544</v>
      </c>
      <c r="E152" s="73">
        <v>18444649</v>
      </c>
      <c r="F152" s="74" t="s">
        <v>526</v>
      </c>
      <c r="G152" s="24" t="s">
        <v>281</v>
      </c>
      <c r="H152" s="18">
        <v>2022</v>
      </c>
      <c r="I152" s="133" t="s">
        <v>282</v>
      </c>
      <c r="J152" s="78" t="s">
        <v>285</v>
      </c>
      <c r="K152" s="71"/>
      <c r="L152" s="16">
        <v>25</v>
      </c>
      <c r="M152" s="16">
        <v>15</v>
      </c>
      <c r="N152" s="16">
        <v>20</v>
      </c>
      <c r="O152" s="16">
        <v>15</v>
      </c>
      <c r="P152" s="20">
        <f>L152+M152+N152+O152</f>
        <v>75</v>
      </c>
      <c r="Q152" s="23" t="str">
        <f>IF(P152&gt;=80,"✅ High Quality",IF(P152&gt;=60,"🟡 Acceptable",IF(P152&gt;=40,"⚠️ Use with Caution","🔴 Insufficient")))</f>
        <v>🟡 Acceptable</v>
      </c>
      <c r="R152" s="82"/>
    </row>
    <row r="153" spans="1:18" ht="46" customHeight="1" x14ac:dyDescent="0.2">
      <c r="A153" s="13"/>
      <c r="B153" s="13" t="s">
        <v>279</v>
      </c>
      <c r="C153" s="22" t="s">
        <v>280</v>
      </c>
      <c r="D153" s="23" t="s">
        <v>544</v>
      </c>
      <c r="E153" s="73">
        <v>19004726</v>
      </c>
      <c r="F153" s="74" t="s">
        <v>526</v>
      </c>
      <c r="G153" s="24" t="s">
        <v>281</v>
      </c>
      <c r="H153" s="18">
        <v>2021</v>
      </c>
      <c r="I153" s="133" t="s">
        <v>282</v>
      </c>
      <c r="J153" s="78" t="s">
        <v>286</v>
      </c>
      <c r="K153" s="71"/>
      <c r="L153" s="16">
        <v>25</v>
      </c>
      <c r="M153" s="16">
        <v>15</v>
      </c>
      <c r="N153" s="16">
        <v>5</v>
      </c>
      <c r="O153" s="16">
        <v>15</v>
      </c>
      <c r="P153" s="20">
        <f>L153+M153+N153+O153</f>
        <v>60</v>
      </c>
      <c r="Q153" s="23" t="str">
        <f>IF(P153&gt;=80,"✅ High Quality",IF(P153&gt;=60,"🟡 Acceptable",IF(P153&gt;=40,"⚠️ Use with Caution","🔴 Insufficient")))</f>
        <v>🟡 Acceptable</v>
      </c>
      <c r="R153" s="82"/>
    </row>
    <row r="154" spans="1:18" ht="46" customHeight="1" x14ac:dyDescent="0.2">
      <c r="A154" s="13"/>
      <c r="B154" s="13" t="s">
        <v>279</v>
      </c>
      <c r="C154" s="22" t="s">
        <v>280</v>
      </c>
      <c r="D154" s="23" t="s">
        <v>544</v>
      </c>
      <c r="E154" s="73">
        <v>19391374</v>
      </c>
      <c r="F154" s="74" t="s">
        <v>526</v>
      </c>
      <c r="G154" s="24" t="s">
        <v>281</v>
      </c>
      <c r="H154" s="18">
        <v>2020</v>
      </c>
      <c r="I154" s="133" t="s">
        <v>282</v>
      </c>
      <c r="J154" s="78" t="s">
        <v>287</v>
      </c>
      <c r="K154" s="71"/>
      <c r="L154" s="16">
        <v>25</v>
      </c>
      <c r="M154" s="16">
        <v>15</v>
      </c>
      <c r="N154" s="16">
        <v>5</v>
      </c>
      <c r="O154" s="16">
        <v>15</v>
      </c>
      <c r="P154" s="20">
        <f>L154+M154+N154+O154</f>
        <v>60</v>
      </c>
      <c r="Q154" s="23" t="str">
        <f>IF(P154&gt;=80,"✅ High Quality",IF(P154&gt;=60,"🟡 Acceptable",IF(P154&gt;=40,"⚠️ Use with Caution","🔴 Insufficient")))</f>
        <v>🟡 Acceptable</v>
      </c>
      <c r="R154" s="82"/>
    </row>
    <row r="155" spans="1:18" ht="46" customHeight="1" x14ac:dyDescent="0.2">
      <c r="A155" s="13"/>
      <c r="B155" s="13" t="s">
        <v>279</v>
      </c>
      <c r="C155" s="22" t="s">
        <v>291</v>
      </c>
      <c r="D155" s="23" t="s">
        <v>534</v>
      </c>
      <c r="E155" s="73">
        <v>114500000</v>
      </c>
      <c r="F155" s="74" t="s">
        <v>296</v>
      </c>
      <c r="G155" s="24" t="s">
        <v>537</v>
      </c>
      <c r="H155" s="18">
        <v>2024</v>
      </c>
      <c r="I155" s="133" t="s">
        <v>282</v>
      </c>
      <c r="J155" s="78" t="s">
        <v>564</v>
      </c>
      <c r="K155" s="71"/>
      <c r="L155" s="16">
        <v>25</v>
      </c>
      <c r="M155" s="16">
        <v>15</v>
      </c>
      <c r="N155" s="16">
        <v>25</v>
      </c>
      <c r="O155" s="16">
        <v>15</v>
      </c>
      <c r="P155" s="20">
        <f>L155+M155+N155+O155</f>
        <v>80</v>
      </c>
      <c r="Q155" s="23" t="str">
        <f>IF(P155&gt;=80,"✅ High Quality",IF(P155&gt;=60,"🟡 Acceptable",IF(P155&gt;=40,"⚠️ Use with Caution","🔴 Insufficient")))</f>
        <v>✅ High Quality</v>
      </c>
      <c r="R155" s="82"/>
    </row>
    <row r="156" spans="1:18" ht="46" customHeight="1" x14ac:dyDescent="0.2">
      <c r="A156" s="13"/>
      <c r="B156" s="13" t="s">
        <v>279</v>
      </c>
      <c r="C156" s="22" t="s">
        <v>291</v>
      </c>
      <c r="D156" s="23" t="s">
        <v>534</v>
      </c>
      <c r="E156" s="73">
        <v>121200000</v>
      </c>
      <c r="F156" s="74" t="s">
        <v>296</v>
      </c>
      <c r="G156" s="24" t="s">
        <v>537</v>
      </c>
      <c r="H156" s="18">
        <v>2023</v>
      </c>
      <c r="I156" s="133" t="s">
        <v>282</v>
      </c>
      <c r="J156" s="78" t="s">
        <v>565</v>
      </c>
      <c r="K156" s="71"/>
      <c r="L156" s="16">
        <v>25</v>
      </c>
      <c r="M156" s="16">
        <v>15</v>
      </c>
      <c r="N156" s="16">
        <v>25</v>
      </c>
      <c r="O156" s="16">
        <v>15</v>
      </c>
      <c r="P156" s="20">
        <f>L156+M156+N156+O156</f>
        <v>80</v>
      </c>
      <c r="Q156" s="23" t="str">
        <f>IF(P156&gt;=80,"✅ High Quality",IF(P156&gt;=60,"🟡 Acceptable",IF(P156&gt;=40,"⚠️ Use with Caution","🔴 Insufficient")))</f>
        <v>✅ High Quality</v>
      </c>
      <c r="R156" s="82"/>
    </row>
    <row r="157" spans="1:18" ht="46" customHeight="1" x14ac:dyDescent="0.2">
      <c r="A157" s="13"/>
      <c r="B157" s="13" t="s">
        <v>279</v>
      </c>
      <c r="C157" s="22" t="s">
        <v>291</v>
      </c>
      <c r="D157" s="23" t="s">
        <v>534</v>
      </c>
      <c r="E157" s="73">
        <v>125400000</v>
      </c>
      <c r="F157" s="74" t="s">
        <v>296</v>
      </c>
      <c r="G157" s="24" t="s">
        <v>537</v>
      </c>
      <c r="H157" s="18">
        <v>2019</v>
      </c>
      <c r="I157" s="133" t="s">
        <v>282</v>
      </c>
      <c r="J157" s="78" t="s">
        <v>568</v>
      </c>
      <c r="K157" s="71"/>
      <c r="L157" s="16">
        <v>25</v>
      </c>
      <c r="M157" s="16">
        <v>15</v>
      </c>
      <c r="N157" s="16">
        <v>5</v>
      </c>
      <c r="O157" s="16">
        <v>15</v>
      </c>
      <c r="P157" s="20">
        <f>L157+M157+N157+O157</f>
        <v>60</v>
      </c>
      <c r="Q157" s="23" t="str">
        <f>IF(P157&gt;=80,"✅ High Quality",IF(P157&gt;=60,"🟡 Acceptable",IF(P157&gt;=40,"⚠️ Use with Caution","🔴 Insufficient")))</f>
        <v>🟡 Acceptable</v>
      </c>
      <c r="R157" s="82"/>
    </row>
    <row r="158" spans="1:18" ht="46" customHeight="1" x14ac:dyDescent="0.2">
      <c r="A158" s="13"/>
      <c r="B158" s="13" t="s">
        <v>279</v>
      </c>
      <c r="C158" s="22" t="s">
        <v>291</v>
      </c>
      <c r="D158" s="23" t="s">
        <v>534</v>
      </c>
      <c r="E158" s="73">
        <v>126300000</v>
      </c>
      <c r="F158" s="74" t="s">
        <v>296</v>
      </c>
      <c r="G158" s="24" t="s">
        <v>537</v>
      </c>
      <c r="H158" s="18">
        <v>2021</v>
      </c>
      <c r="I158" s="133" t="s">
        <v>282</v>
      </c>
      <c r="J158" s="78" t="s">
        <v>567</v>
      </c>
      <c r="K158" s="71"/>
      <c r="L158" s="16">
        <v>25</v>
      </c>
      <c r="M158" s="16">
        <v>15</v>
      </c>
      <c r="N158" s="16">
        <v>5</v>
      </c>
      <c r="O158" s="16">
        <v>15</v>
      </c>
      <c r="P158" s="20">
        <f>L158+M158+N158+O158</f>
        <v>60</v>
      </c>
      <c r="Q158" s="23" t="str">
        <f>IF(P158&gt;=80,"✅ High Quality",IF(P158&gt;=60,"🟡 Acceptable",IF(P158&gt;=40,"⚠️ Use with Caution","🔴 Insufficient")))</f>
        <v>🟡 Acceptable</v>
      </c>
      <c r="R158" s="82"/>
    </row>
    <row r="159" spans="1:18" ht="46" customHeight="1" x14ac:dyDescent="0.2">
      <c r="A159" s="13"/>
      <c r="B159" s="13" t="s">
        <v>279</v>
      </c>
      <c r="C159" s="22" t="s">
        <v>291</v>
      </c>
      <c r="D159" s="23" t="s">
        <v>534</v>
      </c>
      <c r="E159" s="73">
        <v>126900000</v>
      </c>
      <c r="F159" s="74" t="s">
        <v>296</v>
      </c>
      <c r="G159" s="24" t="s">
        <v>537</v>
      </c>
      <c r="H159" s="18">
        <v>2022</v>
      </c>
      <c r="I159" s="133" t="s">
        <v>282</v>
      </c>
      <c r="J159" s="78" t="s">
        <v>566</v>
      </c>
      <c r="K159" s="71"/>
      <c r="L159" s="16">
        <v>25</v>
      </c>
      <c r="M159" s="16">
        <v>15</v>
      </c>
      <c r="N159" s="16">
        <v>20</v>
      </c>
      <c r="O159" s="16">
        <v>15</v>
      </c>
      <c r="P159" s="20">
        <f>L159+M159+N159+O159</f>
        <v>75</v>
      </c>
      <c r="Q159" s="23" t="str">
        <f>IF(P159&gt;=80,"✅ High Quality",IF(P159&gt;=60,"🟡 Acceptable",IF(P159&gt;=40,"⚠️ Use with Caution","🔴 Insufficient")))</f>
        <v>🟡 Acceptable</v>
      </c>
      <c r="R159" s="82"/>
    </row>
    <row r="160" spans="1:18" ht="46" customHeight="1" x14ac:dyDescent="0.2">
      <c r="A160" s="13"/>
      <c r="B160" s="13" t="s">
        <v>279</v>
      </c>
      <c r="C160" s="22" t="s">
        <v>291</v>
      </c>
      <c r="D160" s="23" t="s">
        <v>292</v>
      </c>
      <c r="E160" s="73">
        <v>128900000</v>
      </c>
      <c r="F160" s="74" t="s">
        <v>296</v>
      </c>
      <c r="G160" s="24" t="s">
        <v>537</v>
      </c>
      <c r="H160" s="18">
        <v>2024</v>
      </c>
      <c r="I160" s="133" t="s">
        <v>282</v>
      </c>
      <c r="J160" s="78" t="s">
        <v>564</v>
      </c>
      <c r="K160" s="71"/>
      <c r="L160" s="16">
        <v>25</v>
      </c>
      <c r="M160" s="16">
        <v>15</v>
      </c>
      <c r="N160" s="16">
        <v>25</v>
      </c>
      <c r="O160" s="16">
        <v>15</v>
      </c>
      <c r="P160" s="20">
        <f>L160+M160+N160+O160</f>
        <v>80</v>
      </c>
      <c r="Q160" s="23" t="str">
        <f>IF(P160&gt;=80,"✅ High Quality",IF(P160&gt;=60,"🟡 Acceptable",IF(P160&gt;=40,"⚠️ Use with Caution","🔴 Insufficient")))</f>
        <v>✅ High Quality</v>
      </c>
      <c r="R160" s="82"/>
    </row>
    <row r="161" spans="1:18" ht="46" customHeight="1" x14ac:dyDescent="0.2">
      <c r="A161" s="13"/>
      <c r="B161" s="13" t="s">
        <v>279</v>
      </c>
      <c r="C161" s="22" t="s">
        <v>291</v>
      </c>
      <c r="D161" s="23" t="s">
        <v>534</v>
      </c>
      <c r="E161" s="73">
        <v>130800000.00000001</v>
      </c>
      <c r="F161" s="74" t="s">
        <v>296</v>
      </c>
      <c r="G161" s="24" t="s">
        <v>537</v>
      </c>
      <c r="H161" s="18">
        <v>2020</v>
      </c>
      <c r="I161" s="133" t="s">
        <v>282</v>
      </c>
      <c r="J161" s="78" t="s">
        <v>567</v>
      </c>
      <c r="K161" s="71"/>
      <c r="L161" s="16">
        <v>25</v>
      </c>
      <c r="M161" s="16">
        <v>15</v>
      </c>
      <c r="N161" s="16">
        <v>5</v>
      </c>
      <c r="O161" s="16">
        <v>15</v>
      </c>
      <c r="P161" s="20">
        <f>L161+M161+N161+O161</f>
        <v>60</v>
      </c>
      <c r="Q161" s="23" t="str">
        <f>IF(P161&gt;=80,"✅ High Quality",IF(P161&gt;=60,"🟡 Acceptable",IF(P161&gt;=40,"⚠️ Use with Caution","🔴 Insufficient")))</f>
        <v>🟡 Acceptable</v>
      </c>
      <c r="R161" s="82"/>
    </row>
    <row r="162" spans="1:18" ht="46" customHeight="1" x14ac:dyDescent="0.2">
      <c r="A162" s="13"/>
      <c r="B162" s="13" t="s">
        <v>279</v>
      </c>
      <c r="C162" s="22" t="s">
        <v>291</v>
      </c>
      <c r="D162" s="23" t="s">
        <v>292</v>
      </c>
      <c r="E162" s="73">
        <v>131699999.99999999</v>
      </c>
      <c r="F162" s="74" t="s">
        <v>296</v>
      </c>
      <c r="G162" s="24" t="s">
        <v>537</v>
      </c>
      <c r="H162" s="18">
        <v>2023</v>
      </c>
      <c r="I162" s="133" t="s">
        <v>282</v>
      </c>
      <c r="J162" s="78" t="s">
        <v>565</v>
      </c>
      <c r="K162" s="71"/>
      <c r="L162" s="16">
        <v>25</v>
      </c>
      <c r="M162" s="16">
        <v>15</v>
      </c>
      <c r="N162" s="16">
        <v>25</v>
      </c>
      <c r="O162" s="16">
        <v>15</v>
      </c>
      <c r="P162" s="20">
        <f>L162+M162+N162+O162</f>
        <v>80</v>
      </c>
      <c r="Q162" s="23" t="str">
        <f>IF(P162&gt;=80,"✅ High Quality",IF(P162&gt;=60,"🟡 Acceptable",IF(P162&gt;=40,"⚠️ Use with Caution","🔴 Insufficient")))</f>
        <v>✅ High Quality</v>
      </c>
      <c r="R162" s="82"/>
    </row>
    <row r="163" spans="1:18" ht="46" customHeight="1" x14ac:dyDescent="0.2">
      <c r="A163" s="13"/>
      <c r="B163" s="13" t="s">
        <v>279</v>
      </c>
      <c r="C163" s="22" t="s">
        <v>291</v>
      </c>
      <c r="D163" s="23" t="s">
        <v>292</v>
      </c>
      <c r="E163" s="73">
        <v>137100000</v>
      </c>
      <c r="F163" s="74" t="s">
        <v>296</v>
      </c>
      <c r="G163" s="24" t="s">
        <v>537</v>
      </c>
      <c r="H163" s="18">
        <v>2019</v>
      </c>
      <c r="I163" s="133" t="s">
        <v>282</v>
      </c>
      <c r="J163" s="78" t="s">
        <v>568</v>
      </c>
      <c r="K163" s="71"/>
      <c r="L163" s="16">
        <v>25</v>
      </c>
      <c r="M163" s="16">
        <v>15</v>
      </c>
      <c r="N163" s="16">
        <v>5</v>
      </c>
      <c r="O163" s="16">
        <v>15</v>
      </c>
      <c r="P163" s="20">
        <f>L163+M163+N163+O163</f>
        <v>60</v>
      </c>
      <c r="Q163" s="23" t="str">
        <f>IF(P163&gt;=80,"✅ High Quality",IF(P163&gt;=60,"🟡 Acceptable",IF(P163&gt;=40,"⚠️ Use with Caution","🔴 Insufficient")))</f>
        <v>🟡 Acceptable</v>
      </c>
      <c r="R163" s="82"/>
    </row>
    <row r="164" spans="1:18" ht="46" customHeight="1" x14ac:dyDescent="0.2">
      <c r="A164" s="13"/>
      <c r="B164" s="13" t="s">
        <v>279</v>
      </c>
      <c r="C164" s="22" t="s">
        <v>291</v>
      </c>
      <c r="D164" s="23" t="s">
        <v>292</v>
      </c>
      <c r="E164" s="73">
        <v>140100000</v>
      </c>
      <c r="F164" s="74" t="s">
        <v>296</v>
      </c>
      <c r="G164" s="24" t="s">
        <v>537</v>
      </c>
      <c r="H164" s="18">
        <v>2021</v>
      </c>
      <c r="I164" s="133" t="s">
        <v>282</v>
      </c>
      <c r="J164" s="78" t="s">
        <v>567</v>
      </c>
      <c r="K164" s="71"/>
      <c r="L164" s="16">
        <v>25</v>
      </c>
      <c r="M164" s="16">
        <v>15</v>
      </c>
      <c r="N164" s="16">
        <v>5</v>
      </c>
      <c r="O164" s="16">
        <v>15</v>
      </c>
      <c r="P164" s="20">
        <f>L164+M164+N164+O164</f>
        <v>60</v>
      </c>
      <c r="Q164" s="23" t="str">
        <f>IF(P164&gt;=80,"✅ High Quality",IF(P164&gt;=60,"🟡 Acceptable",IF(P164&gt;=40,"⚠️ Use with Caution","🔴 Insufficient")))</f>
        <v>🟡 Acceptable</v>
      </c>
      <c r="R164" s="82"/>
    </row>
    <row r="165" spans="1:18" ht="46" customHeight="1" x14ac:dyDescent="0.2">
      <c r="A165" s="13"/>
      <c r="B165" s="13" t="s">
        <v>279</v>
      </c>
      <c r="C165" s="22" t="s">
        <v>291</v>
      </c>
      <c r="D165" s="23" t="s">
        <v>292</v>
      </c>
      <c r="E165" s="73">
        <v>141100000</v>
      </c>
      <c r="F165" s="74" t="s">
        <v>296</v>
      </c>
      <c r="G165" s="24" t="s">
        <v>537</v>
      </c>
      <c r="H165" s="18">
        <v>2022</v>
      </c>
      <c r="I165" s="133" t="s">
        <v>282</v>
      </c>
      <c r="J165" s="78" t="s">
        <v>566</v>
      </c>
      <c r="K165" s="71"/>
      <c r="L165" s="16">
        <v>25</v>
      </c>
      <c r="M165" s="16">
        <v>15</v>
      </c>
      <c r="N165" s="16">
        <v>20</v>
      </c>
      <c r="O165" s="16">
        <v>15</v>
      </c>
      <c r="P165" s="20">
        <f>L165+M165+N165+O165</f>
        <v>75</v>
      </c>
      <c r="Q165" s="23" t="str">
        <f>IF(P165&gt;=80,"✅ High Quality",IF(P165&gt;=60,"🟡 Acceptable",IF(P165&gt;=40,"⚠️ Use with Caution","🔴 Insufficient")))</f>
        <v>🟡 Acceptable</v>
      </c>
      <c r="R165" s="82"/>
    </row>
    <row r="166" spans="1:18" ht="46" customHeight="1" x14ac:dyDescent="0.2">
      <c r="A166" s="13"/>
      <c r="B166" s="13" t="s">
        <v>279</v>
      </c>
      <c r="C166" s="22" t="s">
        <v>291</v>
      </c>
      <c r="D166" s="23" t="s">
        <v>292</v>
      </c>
      <c r="E166" s="73">
        <v>144300000</v>
      </c>
      <c r="F166" s="74" t="s">
        <v>296</v>
      </c>
      <c r="G166" s="24" t="s">
        <v>537</v>
      </c>
      <c r="H166" s="18">
        <v>2020</v>
      </c>
      <c r="I166" s="133" t="s">
        <v>282</v>
      </c>
      <c r="J166" s="78" t="s">
        <v>567</v>
      </c>
      <c r="K166" s="71"/>
      <c r="L166" s="16">
        <v>25</v>
      </c>
      <c r="M166" s="16">
        <v>15</v>
      </c>
      <c r="N166" s="16">
        <v>5</v>
      </c>
      <c r="O166" s="16">
        <v>15</v>
      </c>
      <c r="P166" s="20">
        <f>L166+M166+N166+O166</f>
        <v>60</v>
      </c>
      <c r="Q166" s="23" t="str">
        <f>IF(P166&gt;=80,"✅ High Quality",IF(P166&gt;=60,"🟡 Acceptable",IF(P166&gt;=40,"⚠️ Use with Caution","🔴 Insufficient")))</f>
        <v>🟡 Acceptable</v>
      </c>
      <c r="R166" s="82"/>
    </row>
    <row r="167" spans="1:18" ht="46" customHeight="1" x14ac:dyDescent="0.2">
      <c r="A167" s="13"/>
      <c r="B167" s="13" t="s">
        <v>279</v>
      </c>
      <c r="C167" s="22" t="s">
        <v>291</v>
      </c>
      <c r="D167" s="23" t="s">
        <v>534</v>
      </c>
      <c r="E167" s="73">
        <v>445060000</v>
      </c>
      <c r="F167" s="74" t="s">
        <v>526</v>
      </c>
      <c r="G167" s="24" t="s">
        <v>537</v>
      </c>
      <c r="H167" s="18">
        <v>2024</v>
      </c>
      <c r="I167" s="133" t="s">
        <v>282</v>
      </c>
      <c r="J167" s="78" t="s">
        <v>564</v>
      </c>
      <c r="K167" s="71"/>
      <c r="L167" s="16">
        <v>25</v>
      </c>
      <c r="M167" s="16">
        <v>15</v>
      </c>
      <c r="N167" s="16">
        <v>25</v>
      </c>
      <c r="O167" s="16">
        <v>15</v>
      </c>
      <c r="P167" s="20">
        <f>L167+M167+N167+O167</f>
        <v>80</v>
      </c>
      <c r="Q167" s="23" t="str">
        <f>IF(P167&gt;=80,"✅ High Quality",IF(P167&gt;=60,"🟡 Acceptable",IF(P167&gt;=40,"⚠️ Use with Caution","🔴 Insufficient")))</f>
        <v>✅ High Quality</v>
      </c>
      <c r="R167" s="82"/>
    </row>
    <row r="168" spans="1:18" ht="46" customHeight="1" x14ac:dyDescent="0.2">
      <c r="A168" s="13"/>
      <c r="B168" s="13" t="s">
        <v>279</v>
      </c>
      <c r="C168" s="22" t="s">
        <v>291</v>
      </c>
      <c r="D168" s="23" t="s">
        <v>292</v>
      </c>
      <c r="E168" s="73">
        <v>470201000</v>
      </c>
      <c r="F168" s="74" t="s">
        <v>526</v>
      </c>
      <c r="G168" s="24" t="s">
        <v>537</v>
      </c>
      <c r="H168" s="18">
        <v>2024</v>
      </c>
      <c r="I168" s="133" t="s">
        <v>282</v>
      </c>
      <c r="J168" s="78" t="s">
        <v>564</v>
      </c>
      <c r="K168" s="71"/>
      <c r="L168" s="16">
        <v>25</v>
      </c>
      <c r="M168" s="16">
        <v>15</v>
      </c>
      <c r="N168" s="16">
        <v>25</v>
      </c>
      <c r="O168" s="16">
        <v>15</v>
      </c>
      <c r="P168" s="20">
        <f>L168+M168+N168+O168</f>
        <v>80</v>
      </c>
      <c r="Q168" s="23" t="str">
        <f>IF(P168&gt;=80,"✅ High Quality",IF(P168&gt;=60,"🟡 Acceptable",IF(P168&gt;=40,"⚠️ Use with Caution","🔴 Insufficient")))</f>
        <v>✅ High Quality</v>
      </c>
      <c r="R168" s="82"/>
    </row>
    <row r="169" spans="1:18" ht="46" customHeight="1" x14ac:dyDescent="0.2">
      <c r="A169" s="13"/>
      <c r="B169" s="13" t="s">
        <v>279</v>
      </c>
      <c r="C169" s="22" t="s">
        <v>291</v>
      </c>
      <c r="D169" s="23" t="s">
        <v>534</v>
      </c>
      <c r="E169" s="73">
        <v>483366000</v>
      </c>
      <c r="F169" s="74" t="s">
        <v>526</v>
      </c>
      <c r="G169" s="24" t="s">
        <v>537</v>
      </c>
      <c r="H169" s="18">
        <v>2023</v>
      </c>
      <c r="I169" s="133" t="s">
        <v>282</v>
      </c>
      <c r="J169" s="78" t="s">
        <v>284</v>
      </c>
      <c r="K169" s="71"/>
      <c r="L169" s="16">
        <v>25</v>
      </c>
      <c r="M169" s="16">
        <v>15</v>
      </c>
      <c r="N169" s="16">
        <v>25</v>
      </c>
      <c r="O169" s="16">
        <v>15</v>
      </c>
      <c r="P169" s="20">
        <f>L169+M169+N169+O169</f>
        <v>80</v>
      </c>
      <c r="Q169" s="23" t="str">
        <f>IF(P169&gt;=80,"✅ High Quality",IF(P169&gt;=60,"🟡 Acceptable",IF(P169&gt;=40,"⚠️ Use with Caution","🔴 Insufficient")))</f>
        <v>✅ High Quality</v>
      </c>
      <c r="R169" s="82"/>
    </row>
    <row r="170" spans="1:18" ht="46" customHeight="1" x14ac:dyDescent="0.2">
      <c r="A170" s="13"/>
      <c r="B170" s="13" t="s">
        <v>279</v>
      </c>
      <c r="C170" s="22" t="s">
        <v>291</v>
      </c>
      <c r="D170" s="23" t="s">
        <v>534</v>
      </c>
      <c r="E170" s="73">
        <v>504311000</v>
      </c>
      <c r="F170" s="74" t="s">
        <v>526</v>
      </c>
      <c r="G170" s="24" t="s">
        <v>537</v>
      </c>
      <c r="H170" s="18">
        <v>2022</v>
      </c>
      <c r="I170" s="133" t="s">
        <v>282</v>
      </c>
      <c r="J170" s="78" t="s">
        <v>285</v>
      </c>
      <c r="K170" s="71"/>
      <c r="L170" s="16">
        <v>25</v>
      </c>
      <c r="M170" s="16">
        <v>15</v>
      </c>
      <c r="N170" s="16">
        <v>20</v>
      </c>
      <c r="O170" s="16">
        <v>15</v>
      </c>
      <c r="P170" s="20">
        <f>L170+M170+N170+O170</f>
        <v>75</v>
      </c>
      <c r="Q170" s="23" t="str">
        <f>IF(P170&gt;=80,"✅ High Quality",IF(P170&gt;=60,"🟡 Acceptable",IF(P170&gt;=40,"⚠️ Use with Caution","🔴 Insufficient")))</f>
        <v>🟡 Acceptable</v>
      </c>
      <c r="R170" s="82"/>
    </row>
    <row r="171" spans="1:18" ht="46" customHeight="1" x14ac:dyDescent="0.2">
      <c r="A171" s="13"/>
      <c r="B171" s="13" t="s">
        <v>279</v>
      </c>
      <c r="C171" s="22" t="s">
        <v>291</v>
      </c>
      <c r="D171" s="23" t="s">
        <v>534</v>
      </c>
      <c r="E171" s="73">
        <v>505139000</v>
      </c>
      <c r="F171" s="74" t="s">
        <v>526</v>
      </c>
      <c r="G171" s="24" t="s">
        <v>537</v>
      </c>
      <c r="H171" s="18">
        <v>2019</v>
      </c>
      <c r="I171" s="133" t="s">
        <v>282</v>
      </c>
      <c r="J171" s="78" t="s">
        <v>564</v>
      </c>
      <c r="K171" s="71"/>
      <c r="L171" s="16">
        <v>25</v>
      </c>
      <c r="M171" s="16">
        <v>15</v>
      </c>
      <c r="N171" s="16">
        <v>5</v>
      </c>
      <c r="O171" s="16">
        <v>15</v>
      </c>
      <c r="P171" s="20">
        <f>L171+M171+N171+O171</f>
        <v>60</v>
      </c>
      <c r="Q171" s="23" t="str">
        <f>IF(P171&gt;=80,"✅ High Quality",IF(P171&gt;=60,"🟡 Acceptable",IF(P171&gt;=40,"⚠️ Use with Caution","🔴 Insufficient")))</f>
        <v>🟡 Acceptable</v>
      </c>
      <c r="R171" s="82"/>
    </row>
    <row r="172" spans="1:18" ht="46" customHeight="1" x14ac:dyDescent="0.2">
      <c r="A172" s="13"/>
      <c r="B172" s="13" t="s">
        <v>279</v>
      </c>
      <c r="C172" s="22" t="s">
        <v>291</v>
      </c>
      <c r="D172" s="23" t="s">
        <v>534</v>
      </c>
      <c r="E172" s="73">
        <v>521228000</v>
      </c>
      <c r="F172" s="74" t="s">
        <v>526</v>
      </c>
      <c r="G172" s="24" t="s">
        <v>537</v>
      </c>
      <c r="H172" s="18">
        <v>2020</v>
      </c>
      <c r="I172" s="133" t="s">
        <v>282</v>
      </c>
      <c r="J172" s="78" t="s">
        <v>287</v>
      </c>
      <c r="K172" s="71"/>
      <c r="L172" s="16">
        <v>25</v>
      </c>
      <c r="M172" s="16">
        <v>15</v>
      </c>
      <c r="N172" s="16">
        <v>5</v>
      </c>
      <c r="O172" s="16">
        <v>15</v>
      </c>
      <c r="P172" s="20">
        <f>L172+M172+N172+O172</f>
        <v>60</v>
      </c>
      <c r="Q172" s="23" t="str">
        <f>IF(P172&gt;=80,"✅ High Quality",IF(P172&gt;=60,"🟡 Acceptable",IF(P172&gt;=40,"⚠️ Use with Caution","🔴 Insufficient")))</f>
        <v>🟡 Acceptable</v>
      </c>
      <c r="R172" s="82"/>
    </row>
    <row r="173" spans="1:18" ht="46" customHeight="1" x14ac:dyDescent="0.2">
      <c r="A173" s="13"/>
      <c r="B173" s="13" t="s">
        <v>279</v>
      </c>
      <c r="C173" s="22" t="s">
        <v>291</v>
      </c>
      <c r="D173" s="23" t="s">
        <v>292</v>
      </c>
      <c r="E173" s="73">
        <v>525124000</v>
      </c>
      <c r="F173" s="74" t="s">
        <v>526</v>
      </c>
      <c r="G173" s="24" t="s">
        <v>537</v>
      </c>
      <c r="H173" s="18">
        <v>2023</v>
      </c>
      <c r="I173" s="133" t="s">
        <v>282</v>
      </c>
      <c r="J173" s="78" t="s">
        <v>284</v>
      </c>
      <c r="K173" s="71"/>
      <c r="L173" s="16">
        <v>25</v>
      </c>
      <c r="M173" s="16">
        <v>15</v>
      </c>
      <c r="N173" s="16">
        <v>25</v>
      </c>
      <c r="O173" s="16">
        <v>15</v>
      </c>
      <c r="P173" s="20">
        <f>L173+M173+N173+O173</f>
        <v>80</v>
      </c>
      <c r="Q173" s="23" t="str">
        <f>IF(P173&gt;=80,"✅ High Quality",IF(P173&gt;=60,"🟡 Acceptable",IF(P173&gt;=40,"⚠️ Use with Caution","🔴 Insufficient")))</f>
        <v>✅ High Quality</v>
      </c>
      <c r="R173" s="82"/>
    </row>
    <row r="174" spans="1:18" ht="46" customHeight="1" x14ac:dyDescent="0.2">
      <c r="A174" s="13"/>
      <c r="B174" s="13" t="s">
        <v>279</v>
      </c>
      <c r="C174" s="22" t="s">
        <v>291</v>
      </c>
      <c r="D174" s="23" t="s">
        <v>534</v>
      </c>
      <c r="E174" s="73">
        <v>533755000</v>
      </c>
      <c r="F174" s="74" t="s">
        <v>526</v>
      </c>
      <c r="G174" s="24" t="s">
        <v>537</v>
      </c>
      <c r="H174" s="18">
        <v>2021</v>
      </c>
      <c r="I174" s="133" t="s">
        <v>282</v>
      </c>
      <c r="J174" s="78" t="s">
        <v>286</v>
      </c>
      <c r="K174" s="71"/>
      <c r="L174" s="16">
        <v>25</v>
      </c>
      <c r="M174" s="16">
        <v>15</v>
      </c>
      <c r="N174" s="16">
        <v>5</v>
      </c>
      <c r="O174" s="16">
        <v>15</v>
      </c>
      <c r="P174" s="20">
        <f>L174+M174+N174+O174</f>
        <v>60</v>
      </c>
      <c r="Q174" s="23" t="str">
        <f>IF(P174&gt;=80,"✅ High Quality",IF(P174&gt;=60,"🟡 Acceptable",IF(P174&gt;=40,"⚠️ Use with Caution","🔴 Insufficient")))</f>
        <v>🟡 Acceptable</v>
      </c>
      <c r="R174" s="82"/>
    </row>
    <row r="175" spans="1:18" ht="46" customHeight="1" x14ac:dyDescent="0.2">
      <c r="A175" s="13"/>
      <c r="B175" s="13" t="s">
        <v>279</v>
      </c>
      <c r="C175" s="22" t="s">
        <v>291</v>
      </c>
      <c r="D175" s="23" t="s">
        <v>292</v>
      </c>
      <c r="E175" s="73">
        <v>567258000</v>
      </c>
      <c r="F175" s="74" t="s">
        <v>526</v>
      </c>
      <c r="G175" s="24" t="s">
        <v>537</v>
      </c>
      <c r="H175" s="18">
        <v>2022</v>
      </c>
      <c r="I175" s="133" t="s">
        <v>282</v>
      </c>
      <c r="J175" s="78" t="s">
        <v>285</v>
      </c>
      <c r="K175" s="71"/>
      <c r="L175" s="16">
        <v>25</v>
      </c>
      <c r="M175" s="16">
        <v>15</v>
      </c>
      <c r="N175" s="16">
        <v>20</v>
      </c>
      <c r="O175" s="16">
        <v>15</v>
      </c>
      <c r="P175" s="20">
        <f>L175+M175+N175+O175</f>
        <v>75</v>
      </c>
      <c r="Q175" s="23" t="str">
        <f>IF(P175&gt;=80,"✅ High Quality",IF(P175&gt;=60,"🟡 Acceptable",IF(P175&gt;=40,"⚠️ Use with Caution","🔴 Insufficient")))</f>
        <v>🟡 Acceptable</v>
      </c>
      <c r="R175" s="82"/>
    </row>
    <row r="176" spans="1:18" ht="46" customHeight="1" x14ac:dyDescent="0.2">
      <c r="A176" s="13"/>
      <c r="B176" s="13" t="s">
        <v>279</v>
      </c>
      <c r="C176" s="22" t="s">
        <v>291</v>
      </c>
      <c r="D176" s="23" t="s">
        <v>292</v>
      </c>
      <c r="E176" s="73">
        <v>575342000</v>
      </c>
      <c r="F176" s="74" t="s">
        <v>526</v>
      </c>
      <c r="G176" s="24" t="s">
        <v>537</v>
      </c>
      <c r="H176" s="18">
        <v>2019</v>
      </c>
      <c r="I176" s="133" t="s">
        <v>282</v>
      </c>
      <c r="J176" s="78" t="s">
        <v>564</v>
      </c>
      <c r="K176" s="71"/>
      <c r="L176" s="16">
        <v>25</v>
      </c>
      <c r="M176" s="16">
        <v>15</v>
      </c>
      <c r="N176" s="16">
        <v>5</v>
      </c>
      <c r="O176" s="16">
        <v>15</v>
      </c>
      <c r="P176" s="20">
        <f>L176+M176+N176+O176</f>
        <v>60</v>
      </c>
      <c r="Q176" s="23" t="str">
        <f>IF(P176&gt;=80,"✅ High Quality",IF(P176&gt;=60,"🟡 Acceptable",IF(P176&gt;=40,"⚠️ Use with Caution","🔴 Insufficient")))</f>
        <v>🟡 Acceptable</v>
      </c>
      <c r="R176" s="82"/>
    </row>
    <row r="177" spans="1:18" ht="46" customHeight="1" x14ac:dyDescent="0.2">
      <c r="A177" s="13"/>
      <c r="B177" s="13" t="s">
        <v>279</v>
      </c>
      <c r="C177" s="22" t="s">
        <v>291</v>
      </c>
      <c r="D177" s="23" t="s">
        <v>292</v>
      </c>
      <c r="E177" s="73">
        <v>581276000</v>
      </c>
      <c r="F177" s="74" t="s">
        <v>526</v>
      </c>
      <c r="G177" s="24" t="s">
        <v>537</v>
      </c>
      <c r="H177" s="18">
        <v>2021</v>
      </c>
      <c r="I177" s="133" t="s">
        <v>282</v>
      </c>
      <c r="J177" s="78" t="s">
        <v>286</v>
      </c>
      <c r="K177" s="71"/>
      <c r="L177" s="16">
        <v>25</v>
      </c>
      <c r="M177" s="16">
        <v>15</v>
      </c>
      <c r="N177" s="16">
        <v>5</v>
      </c>
      <c r="O177" s="16">
        <v>15</v>
      </c>
      <c r="P177" s="20">
        <f>L177+M177+N177+O177</f>
        <v>60</v>
      </c>
      <c r="Q177" s="23" t="str">
        <f>IF(P177&gt;=80,"✅ High Quality",IF(P177&gt;=60,"🟡 Acceptable",IF(P177&gt;=40,"⚠️ Use with Caution","🔴 Insufficient")))</f>
        <v>🟡 Acceptable</v>
      </c>
      <c r="R177" s="82"/>
    </row>
    <row r="178" spans="1:18" ht="46" customHeight="1" x14ac:dyDescent="0.2">
      <c r="A178" s="13"/>
      <c r="B178" s="13" t="s">
        <v>279</v>
      </c>
      <c r="C178" s="22" t="s">
        <v>291</v>
      </c>
      <c r="D178" s="23" t="s">
        <v>292</v>
      </c>
      <c r="E178" s="73">
        <v>588952000</v>
      </c>
      <c r="F178" s="74" t="s">
        <v>526</v>
      </c>
      <c r="G178" s="24" t="s">
        <v>537</v>
      </c>
      <c r="H178" s="18">
        <v>2020</v>
      </c>
      <c r="I178" s="133" t="s">
        <v>282</v>
      </c>
      <c r="J178" s="78" t="s">
        <v>287</v>
      </c>
      <c r="K178" s="71"/>
      <c r="L178" s="16">
        <v>25</v>
      </c>
      <c r="M178" s="16">
        <v>15</v>
      </c>
      <c r="N178" s="16">
        <v>5</v>
      </c>
      <c r="O178" s="16">
        <v>15</v>
      </c>
      <c r="P178" s="20">
        <f>L178+M178+N178+O178</f>
        <v>60</v>
      </c>
      <c r="Q178" s="23" t="str">
        <f>IF(P178&gt;=80,"✅ High Quality",IF(P178&gt;=60,"🟡 Acceptable",IF(P178&gt;=40,"⚠️ Use with Caution","🔴 Insufficient")))</f>
        <v>🟡 Acceptable</v>
      </c>
      <c r="R178" s="82"/>
    </row>
    <row r="179" spans="1:18" ht="46" hidden="1" customHeight="1" x14ac:dyDescent="0.2">
      <c r="A179" s="13"/>
      <c r="B179" s="13" t="s">
        <v>279</v>
      </c>
      <c r="C179" s="83" t="s">
        <v>291</v>
      </c>
      <c r="D179" s="23" t="s">
        <v>116</v>
      </c>
      <c r="E179" s="73"/>
      <c r="F179" s="74" t="s">
        <v>526</v>
      </c>
      <c r="G179" s="24" t="s">
        <v>99</v>
      </c>
      <c r="H179" s="18">
        <v>2024</v>
      </c>
      <c r="I179" s="71" t="s">
        <v>572</v>
      </c>
      <c r="J179" s="78"/>
      <c r="K179" s="71"/>
      <c r="L179" s="16">
        <v>0</v>
      </c>
      <c r="M179" s="16">
        <v>0</v>
      </c>
      <c r="N179" s="16">
        <v>0</v>
      </c>
      <c r="O179" s="16">
        <v>15</v>
      </c>
      <c r="P179" s="20">
        <f>L179+M179+N179+O179</f>
        <v>15</v>
      </c>
      <c r="Q179" s="23" t="str">
        <f>IF(P179&gt;=80,"✅ High Quality",IF(P179&gt;=60,"🟡 Acceptable",IF(P179&gt;=40,"⚠️ Use with Caution","🔴 Insufficient")))</f>
        <v>🔴 Insufficient</v>
      </c>
      <c r="R179" s="82"/>
    </row>
    <row r="180" spans="1:18" ht="46" hidden="1" customHeight="1" x14ac:dyDescent="0.2">
      <c r="A180" s="13"/>
      <c r="B180" s="13" t="s">
        <v>279</v>
      </c>
      <c r="C180" s="83" t="s">
        <v>291</v>
      </c>
      <c r="D180" s="23" t="s">
        <v>116</v>
      </c>
      <c r="E180" s="73"/>
      <c r="F180" s="74" t="s">
        <v>296</v>
      </c>
      <c r="G180" s="24" t="s">
        <v>99</v>
      </c>
      <c r="H180" s="18">
        <v>2024</v>
      </c>
      <c r="I180" s="71" t="s">
        <v>572</v>
      </c>
      <c r="J180" s="78"/>
      <c r="K180" s="71"/>
      <c r="L180" s="16">
        <v>0</v>
      </c>
      <c r="M180" s="16">
        <v>0</v>
      </c>
      <c r="N180" s="16">
        <v>0</v>
      </c>
      <c r="O180" s="16">
        <v>15</v>
      </c>
      <c r="P180" s="20">
        <f>L180+M180+N180+O180</f>
        <v>15</v>
      </c>
      <c r="Q180" s="23" t="str">
        <f>IF(P180&gt;=80,"✅ High Quality",IF(P180&gt;=60,"🟡 Acceptable",IF(P180&gt;=40,"⚠️ Use with Caution","🔴 Insufficient")))</f>
        <v>🔴 Insufficient</v>
      </c>
      <c r="R180" s="82"/>
    </row>
    <row r="181" spans="1:18" ht="46" hidden="1" customHeight="1" x14ac:dyDescent="0.2">
      <c r="A181" s="13"/>
      <c r="B181" s="13" t="s">
        <v>279</v>
      </c>
      <c r="C181" s="83" t="s">
        <v>291</v>
      </c>
      <c r="D181" s="23" t="s">
        <v>116</v>
      </c>
      <c r="E181" s="73"/>
      <c r="F181" s="74" t="s">
        <v>526</v>
      </c>
      <c r="G181" s="24" t="s">
        <v>99</v>
      </c>
      <c r="H181" s="18">
        <v>2023</v>
      </c>
      <c r="I181" s="71" t="s">
        <v>572</v>
      </c>
      <c r="J181" s="78"/>
      <c r="K181" s="71"/>
      <c r="L181" s="16">
        <v>0</v>
      </c>
      <c r="M181" s="16">
        <v>0</v>
      </c>
      <c r="N181" s="16">
        <v>0</v>
      </c>
      <c r="O181" s="16">
        <v>15</v>
      </c>
      <c r="P181" s="20">
        <f>L181+M181+N181+O181</f>
        <v>15</v>
      </c>
      <c r="Q181" s="23" t="str">
        <f>IF(P181&gt;=80,"✅ High Quality",IF(P181&gt;=60,"🟡 Acceptable",IF(P181&gt;=40,"⚠️ Use with Caution","🔴 Insufficient")))</f>
        <v>🔴 Insufficient</v>
      </c>
      <c r="R181" s="82"/>
    </row>
    <row r="182" spans="1:18" ht="46" hidden="1" customHeight="1" x14ac:dyDescent="0.2">
      <c r="A182" s="13"/>
      <c r="B182" s="13" t="s">
        <v>279</v>
      </c>
      <c r="C182" s="83" t="s">
        <v>291</v>
      </c>
      <c r="D182" s="23" t="s">
        <v>116</v>
      </c>
      <c r="E182" s="73"/>
      <c r="F182" s="74" t="s">
        <v>296</v>
      </c>
      <c r="G182" s="24" t="s">
        <v>99</v>
      </c>
      <c r="H182" s="18">
        <v>2023</v>
      </c>
      <c r="I182" s="71" t="s">
        <v>572</v>
      </c>
      <c r="J182" s="78"/>
      <c r="K182" s="71"/>
      <c r="L182" s="16">
        <v>0</v>
      </c>
      <c r="M182" s="16">
        <v>0</v>
      </c>
      <c r="N182" s="16">
        <v>0</v>
      </c>
      <c r="O182" s="16">
        <v>15</v>
      </c>
      <c r="P182" s="20">
        <f>L182+M182+N182+O182</f>
        <v>15</v>
      </c>
      <c r="Q182" s="23" t="str">
        <f>IF(P182&gt;=80,"✅ High Quality",IF(P182&gt;=60,"🟡 Acceptable",IF(P182&gt;=40,"⚠️ Use with Caution","🔴 Insufficient")))</f>
        <v>🔴 Insufficient</v>
      </c>
      <c r="R182" s="82"/>
    </row>
    <row r="183" spans="1:18" ht="46" hidden="1" customHeight="1" x14ac:dyDescent="0.2">
      <c r="A183" s="13"/>
      <c r="B183" s="13" t="s">
        <v>279</v>
      </c>
      <c r="C183" s="83" t="s">
        <v>291</v>
      </c>
      <c r="D183" s="23" t="s">
        <v>116</v>
      </c>
      <c r="E183" s="73"/>
      <c r="F183" s="74" t="s">
        <v>526</v>
      </c>
      <c r="G183" s="24" t="s">
        <v>99</v>
      </c>
      <c r="H183" s="18">
        <v>2022</v>
      </c>
      <c r="I183" s="71" t="s">
        <v>572</v>
      </c>
      <c r="J183" s="78"/>
      <c r="K183" s="71"/>
      <c r="L183" s="16">
        <v>0</v>
      </c>
      <c r="M183" s="16">
        <v>0</v>
      </c>
      <c r="N183" s="16">
        <v>0</v>
      </c>
      <c r="O183" s="16">
        <v>15</v>
      </c>
      <c r="P183" s="20">
        <f>L183+M183+N183+O183</f>
        <v>15</v>
      </c>
      <c r="Q183" s="23" t="str">
        <f>IF(P183&gt;=80,"✅ High Quality",IF(P183&gt;=60,"🟡 Acceptable",IF(P183&gt;=40,"⚠️ Use with Caution","🔴 Insufficient")))</f>
        <v>🔴 Insufficient</v>
      </c>
      <c r="R183" s="82"/>
    </row>
    <row r="184" spans="1:18" ht="46" hidden="1" customHeight="1" x14ac:dyDescent="0.2">
      <c r="A184" s="13"/>
      <c r="B184" s="13" t="s">
        <v>279</v>
      </c>
      <c r="C184" s="83" t="s">
        <v>291</v>
      </c>
      <c r="D184" s="23" t="s">
        <v>116</v>
      </c>
      <c r="E184" s="73"/>
      <c r="F184" s="74" t="s">
        <v>296</v>
      </c>
      <c r="G184" s="24" t="s">
        <v>99</v>
      </c>
      <c r="H184" s="18">
        <v>2022</v>
      </c>
      <c r="I184" s="71" t="s">
        <v>572</v>
      </c>
      <c r="J184" s="78"/>
      <c r="K184" s="71"/>
      <c r="L184" s="16">
        <v>0</v>
      </c>
      <c r="M184" s="16">
        <v>0</v>
      </c>
      <c r="N184" s="16">
        <v>0</v>
      </c>
      <c r="O184" s="16">
        <v>15</v>
      </c>
      <c r="P184" s="20">
        <f>L184+M184+N184+O184</f>
        <v>15</v>
      </c>
      <c r="Q184" s="23" t="str">
        <f>IF(P184&gt;=80,"✅ High Quality",IF(P184&gt;=60,"🟡 Acceptable",IF(P184&gt;=40,"⚠️ Use with Caution","🔴 Insufficient")))</f>
        <v>🔴 Insufficient</v>
      </c>
      <c r="R184" s="82"/>
    </row>
    <row r="185" spans="1:18" ht="46" hidden="1" customHeight="1" x14ac:dyDescent="0.2">
      <c r="A185" s="13"/>
      <c r="B185" s="13" t="s">
        <v>279</v>
      </c>
      <c r="C185" s="83" t="s">
        <v>291</v>
      </c>
      <c r="D185" s="23" t="s">
        <v>116</v>
      </c>
      <c r="E185" s="73"/>
      <c r="F185" s="74" t="s">
        <v>526</v>
      </c>
      <c r="G185" s="24" t="s">
        <v>99</v>
      </c>
      <c r="H185" s="18">
        <v>2021</v>
      </c>
      <c r="I185" s="71" t="s">
        <v>572</v>
      </c>
      <c r="J185" s="78"/>
      <c r="K185" s="71"/>
      <c r="L185" s="16">
        <v>0</v>
      </c>
      <c r="M185" s="16">
        <v>0</v>
      </c>
      <c r="N185" s="16">
        <v>0</v>
      </c>
      <c r="O185" s="16">
        <v>15</v>
      </c>
      <c r="P185" s="20">
        <f>L185+M185+N185+O185</f>
        <v>15</v>
      </c>
      <c r="Q185" s="23" t="str">
        <f>IF(P185&gt;=80,"✅ High Quality",IF(P185&gt;=60,"🟡 Acceptable",IF(P185&gt;=40,"⚠️ Use with Caution","🔴 Insufficient")))</f>
        <v>🔴 Insufficient</v>
      </c>
      <c r="R185" s="82"/>
    </row>
    <row r="186" spans="1:18" ht="46" hidden="1" customHeight="1" x14ac:dyDescent="0.2">
      <c r="A186" s="13"/>
      <c r="B186" s="13" t="s">
        <v>279</v>
      </c>
      <c r="C186" s="83" t="s">
        <v>291</v>
      </c>
      <c r="D186" s="23" t="s">
        <v>116</v>
      </c>
      <c r="E186" s="73"/>
      <c r="F186" s="74" t="s">
        <v>296</v>
      </c>
      <c r="G186" s="24" t="s">
        <v>99</v>
      </c>
      <c r="H186" s="18">
        <v>2021</v>
      </c>
      <c r="I186" s="71" t="s">
        <v>572</v>
      </c>
      <c r="J186" s="78"/>
      <c r="K186" s="71"/>
      <c r="L186" s="16">
        <v>0</v>
      </c>
      <c r="M186" s="16">
        <v>0</v>
      </c>
      <c r="N186" s="16">
        <v>0</v>
      </c>
      <c r="O186" s="16">
        <v>15</v>
      </c>
      <c r="P186" s="20">
        <f>L186+M186+N186+O186</f>
        <v>15</v>
      </c>
      <c r="Q186" s="23" t="str">
        <f>IF(P186&gt;=80,"✅ High Quality",IF(P186&gt;=60,"🟡 Acceptable",IF(P186&gt;=40,"⚠️ Use with Caution","🔴 Insufficient")))</f>
        <v>🔴 Insufficient</v>
      </c>
      <c r="R186" s="82"/>
    </row>
    <row r="187" spans="1:18" ht="46" hidden="1" customHeight="1" x14ac:dyDescent="0.2">
      <c r="A187" s="13"/>
      <c r="B187" s="13" t="s">
        <v>279</v>
      </c>
      <c r="C187" s="83" t="s">
        <v>291</v>
      </c>
      <c r="D187" s="23" t="s">
        <v>116</v>
      </c>
      <c r="E187" s="16"/>
      <c r="F187" s="74" t="s">
        <v>526</v>
      </c>
      <c r="G187" s="24" t="s">
        <v>99</v>
      </c>
      <c r="H187" s="18">
        <v>2020</v>
      </c>
      <c r="I187" s="71" t="s">
        <v>572</v>
      </c>
      <c r="J187" s="78"/>
      <c r="K187" s="71"/>
      <c r="L187" s="16">
        <v>0</v>
      </c>
      <c r="M187" s="16">
        <v>0</v>
      </c>
      <c r="N187" s="16">
        <v>0</v>
      </c>
      <c r="O187" s="16">
        <v>15</v>
      </c>
      <c r="P187" s="20">
        <f>L187+M187+N187+O187</f>
        <v>15</v>
      </c>
      <c r="Q187" s="23" t="str">
        <f>IF(P187&gt;=80,"✅ High Quality",IF(P187&gt;=60,"🟡 Acceptable",IF(P187&gt;=40,"⚠️ Use with Caution","🔴 Insufficient")))</f>
        <v>🔴 Insufficient</v>
      </c>
      <c r="R187" s="82"/>
    </row>
    <row r="188" spans="1:18" ht="46" hidden="1" customHeight="1" x14ac:dyDescent="0.2">
      <c r="A188" s="13"/>
      <c r="B188" s="13" t="s">
        <v>279</v>
      </c>
      <c r="C188" s="83" t="s">
        <v>291</v>
      </c>
      <c r="D188" s="23" t="s">
        <v>116</v>
      </c>
      <c r="E188" s="73"/>
      <c r="F188" s="74" t="s">
        <v>296</v>
      </c>
      <c r="G188" s="24" t="s">
        <v>99</v>
      </c>
      <c r="H188" s="18">
        <v>2020</v>
      </c>
      <c r="I188" s="71" t="s">
        <v>572</v>
      </c>
      <c r="J188" s="78"/>
      <c r="K188" s="71"/>
      <c r="L188" s="16">
        <v>0</v>
      </c>
      <c r="M188" s="16">
        <v>0</v>
      </c>
      <c r="N188" s="16">
        <v>0</v>
      </c>
      <c r="O188" s="16">
        <v>15</v>
      </c>
      <c r="P188" s="20">
        <f>L188+M188+N188+O188</f>
        <v>15</v>
      </c>
      <c r="Q188" s="23" t="str">
        <f>IF(P188&gt;=80,"✅ High Quality",IF(P188&gt;=60,"🟡 Acceptable",IF(P188&gt;=40,"⚠️ Use with Caution","🔴 Insufficient")))</f>
        <v>🔴 Insufficient</v>
      </c>
      <c r="R188" s="82"/>
    </row>
    <row r="189" spans="1:18" ht="46" hidden="1" customHeight="1" x14ac:dyDescent="0.2">
      <c r="A189" s="13"/>
      <c r="B189" s="13" t="s">
        <v>279</v>
      </c>
      <c r="C189" s="83" t="s">
        <v>291</v>
      </c>
      <c r="D189" s="23" t="s">
        <v>116</v>
      </c>
      <c r="E189" s="16"/>
      <c r="F189" s="74" t="s">
        <v>526</v>
      </c>
      <c r="G189" s="24" t="s">
        <v>99</v>
      </c>
      <c r="H189" s="18">
        <v>2019</v>
      </c>
      <c r="I189" s="71" t="s">
        <v>572</v>
      </c>
      <c r="J189" s="78"/>
      <c r="K189" s="71"/>
      <c r="L189" s="16">
        <v>0</v>
      </c>
      <c r="M189" s="16">
        <v>0</v>
      </c>
      <c r="N189" s="16">
        <v>0</v>
      </c>
      <c r="O189" s="16">
        <v>15</v>
      </c>
      <c r="P189" s="20">
        <f>L189+M189+N189+O189</f>
        <v>15</v>
      </c>
      <c r="Q189" s="23" t="str">
        <f>IF(P189&gt;=80,"✅ High Quality",IF(P189&gt;=60,"🟡 Acceptable",IF(P189&gt;=40,"⚠️ Use with Caution","🔴 Insufficient")))</f>
        <v>🔴 Insufficient</v>
      </c>
      <c r="R189" s="82"/>
    </row>
    <row r="190" spans="1:18" ht="46" hidden="1" customHeight="1" x14ac:dyDescent="0.2">
      <c r="A190" s="13"/>
      <c r="B190" s="13" t="s">
        <v>279</v>
      </c>
      <c r="C190" s="83" t="s">
        <v>291</v>
      </c>
      <c r="D190" s="23" t="s">
        <v>116</v>
      </c>
      <c r="E190" s="73"/>
      <c r="F190" s="74" t="s">
        <v>296</v>
      </c>
      <c r="G190" s="24" t="s">
        <v>99</v>
      </c>
      <c r="H190" s="18">
        <v>2019</v>
      </c>
      <c r="I190" s="71" t="s">
        <v>572</v>
      </c>
      <c r="J190" s="78"/>
      <c r="K190" s="71"/>
      <c r="L190" s="16">
        <v>0</v>
      </c>
      <c r="M190" s="16">
        <v>0</v>
      </c>
      <c r="N190" s="16">
        <v>0</v>
      </c>
      <c r="O190" s="16">
        <v>15</v>
      </c>
      <c r="P190" s="20">
        <f>L190+M190+N190+O190</f>
        <v>15</v>
      </c>
      <c r="Q190" s="23" t="str">
        <f>IF(P190&gt;=80,"✅ High Quality",IF(P190&gt;=60,"🟡 Acceptable",IF(P190&gt;=40,"⚠️ Use with Caution","🔴 Insufficient")))</f>
        <v>🔴 Insufficient</v>
      </c>
      <c r="R190" s="82"/>
    </row>
    <row r="191" spans="1:18" ht="46" hidden="1" customHeight="1" x14ac:dyDescent="0.2">
      <c r="A191" s="13"/>
      <c r="B191" s="13" t="s">
        <v>279</v>
      </c>
      <c r="C191" s="14" t="s">
        <v>293</v>
      </c>
      <c r="D191" s="15" t="s">
        <v>548</v>
      </c>
      <c r="E191" s="73"/>
      <c r="F191" s="74" t="s">
        <v>526</v>
      </c>
      <c r="G191" s="17" t="s">
        <v>295</v>
      </c>
      <c r="H191" s="18">
        <v>2024</v>
      </c>
      <c r="I191" s="71" t="s">
        <v>572</v>
      </c>
      <c r="J191" s="78"/>
      <c r="K191" s="71"/>
      <c r="L191" s="16">
        <v>25</v>
      </c>
      <c r="M191" s="16">
        <v>10</v>
      </c>
      <c r="N191" s="16">
        <v>0</v>
      </c>
      <c r="O191" s="16">
        <v>15</v>
      </c>
      <c r="P191" s="20">
        <f>L191+M191+N191+O191</f>
        <v>50</v>
      </c>
      <c r="Q191" s="23" t="str">
        <f>IF(P191&gt;=80,"✅ High Quality",IF(P191&gt;=60,"🟡 Acceptable",IF(P191&gt;=40,"⚠️ Use with Caution","🔴 Insufficient")))</f>
        <v>⚠️ Use with Caution</v>
      </c>
      <c r="R191" s="82"/>
    </row>
    <row r="192" spans="1:18" ht="46" hidden="1" customHeight="1" x14ac:dyDescent="0.2">
      <c r="A192" s="13"/>
      <c r="B192" s="13" t="s">
        <v>279</v>
      </c>
      <c r="C192" s="14" t="s">
        <v>293</v>
      </c>
      <c r="D192" s="15" t="s">
        <v>548</v>
      </c>
      <c r="E192" s="73"/>
      <c r="F192" s="74" t="s">
        <v>526</v>
      </c>
      <c r="G192" s="17" t="s">
        <v>295</v>
      </c>
      <c r="H192" s="18">
        <v>2023</v>
      </c>
      <c r="I192" s="71" t="s">
        <v>572</v>
      </c>
      <c r="J192" s="78"/>
      <c r="K192" s="71"/>
      <c r="L192" s="16">
        <v>25</v>
      </c>
      <c r="M192" s="16">
        <v>10</v>
      </c>
      <c r="N192" s="16">
        <v>0</v>
      </c>
      <c r="O192" s="16">
        <v>15</v>
      </c>
      <c r="P192" s="20">
        <f>L192+M192+N192+O192</f>
        <v>50</v>
      </c>
      <c r="Q192" s="23" t="str">
        <f>IF(P192&gt;=80,"✅ High Quality",IF(P192&gt;=60,"🟡 Acceptable",IF(P192&gt;=40,"⚠️ Use with Caution","🔴 Insufficient")))</f>
        <v>⚠️ Use with Caution</v>
      </c>
      <c r="R192" s="82"/>
    </row>
    <row r="193" spans="1:18" ht="46" hidden="1" customHeight="1" x14ac:dyDescent="0.2">
      <c r="A193" s="13"/>
      <c r="B193" s="13" t="s">
        <v>279</v>
      </c>
      <c r="C193" s="14" t="s">
        <v>293</v>
      </c>
      <c r="D193" s="15" t="s">
        <v>548</v>
      </c>
      <c r="E193" s="73"/>
      <c r="F193" s="74" t="s">
        <v>526</v>
      </c>
      <c r="G193" s="17" t="s">
        <v>295</v>
      </c>
      <c r="H193" s="18">
        <v>2022</v>
      </c>
      <c r="I193" s="71" t="s">
        <v>572</v>
      </c>
      <c r="J193" s="78"/>
      <c r="K193" s="71"/>
      <c r="L193" s="16">
        <v>25</v>
      </c>
      <c r="M193" s="16">
        <v>10</v>
      </c>
      <c r="N193" s="16">
        <v>0</v>
      </c>
      <c r="O193" s="16">
        <v>15</v>
      </c>
      <c r="P193" s="20">
        <f>L193+M193+N193+O193</f>
        <v>50</v>
      </c>
      <c r="Q193" s="23" t="str">
        <f>IF(P193&gt;=80,"✅ High Quality",IF(P193&gt;=60,"🟡 Acceptable",IF(P193&gt;=40,"⚠️ Use with Caution","🔴 Insufficient")))</f>
        <v>⚠️ Use with Caution</v>
      </c>
      <c r="R193" s="82"/>
    </row>
    <row r="194" spans="1:18" ht="46" hidden="1" customHeight="1" x14ac:dyDescent="0.2">
      <c r="A194" s="13"/>
      <c r="B194" s="13" t="s">
        <v>279</v>
      </c>
      <c r="C194" s="14" t="s">
        <v>293</v>
      </c>
      <c r="D194" s="15" t="s">
        <v>548</v>
      </c>
      <c r="E194" s="73"/>
      <c r="F194" s="74" t="s">
        <v>526</v>
      </c>
      <c r="G194" s="17" t="s">
        <v>295</v>
      </c>
      <c r="H194" s="18">
        <v>2021</v>
      </c>
      <c r="I194" s="71" t="s">
        <v>572</v>
      </c>
      <c r="J194" s="78"/>
      <c r="K194" s="71"/>
      <c r="L194" s="16">
        <v>25</v>
      </c>
      <c r="M194" s="16">
        <v>10</v>
      </c>
      <c r="N194" s="16">
        <v>0</v>
      </c>
      <c r="O194" s="16">
        <v>15</v>
      </c>
      <c r="P194" s="20">
        <f>L194+M194+N194+O194</f>
        <v>50</v>
      </c>
      <c r="Q194" s="23" t="str">
        <f>IF(P194&gt;=80,"✅ High Quality",IF(P194&gt;=60,"🟡 Acceptable",IF(P194&gt;=40,"⚠️ Use with Caution","🔴 Insufficient")))</f>
        <v>⚠️ Use with Caution</v>
      </c>
      <c r="R194" s="82"/>
    </row>
    <row r="195" spans="1:18" ht="46" hidden="1" customHeight="1" x14ac:dyDescent="0.2">
      <c r="A195" s="13"/>
      <c r="B195" s="13" t="s">
        <v>279</v>
      </c>
      <c r="C195" s="14" t="s">
        <v>293</v>
      </c>
      <c r="D195" s="15" t="s">
        <v>548</v>
      </c>
      <c r="E195" s="73"/>
      <c r="F195" s="74" t="s">
        <v>526</v>
      </c>
      <c r="G195" s="17" t="s">
        <v>295</v>
      </c>
      <c r="H195" s="18">
        <v>2020</v>
      </c>
      <c r="I195" s="71" t="s">
        <v>572</v>
      </c>
      <c r="J195" s="78"/>
      <c r="K195" s="71"/>
      <c r="L195" s="16">
        <v>25</v>
      </c>
      <c r="M195" s="16">
        <v>10</v>
      </c>
      <c r="N195" s="16">
        <v>0</v>
      </c>
      <c r="O195" s="16">
        <v>15</v>
      </c>
      <c r="P195" s="20">
        <f>L195+M195+N195+O195</f>
        <v>50</v>
      </c>
      <c r="Q195" s="23" t="str">
        <f>IF(P195&gt;=80,"✅ High Quality",IF(P195&gt;=60,"🟡 Acceptable",IF(P195&gt;=40,"⚠️ Use with Caution","🔴 Insufficient")))</f>
        <v>⚠️ Use with Caution</v>
      </c>
      <c r="R195" s="82"/>
    </row>
    <row r="196" spans="1:18" ht="46" hidden="1" customHeight="1" x14ac:dyDescent="0.2">
      <c r="A196" s="13"/>
      <c r="B196" s="13" t="s">
        <v>279</v>
      </c>
      <c r="C196" s="14" t="s">
        <v>293</v>
      </c>
      <c r="D196" s="15" t="s">
        <v>294</v>
      </c>
      <c r="E196" s="73"/>
      <c r="F196" s="74" t="s">
        <v>526</v>
      </c>
      <c r="G196" s="17" t="s">
        <v>295</v>
      </c>
      <c r="H196" s="18">
        <v>2024</v>
      </c>
      <c r="I196" s="71" t="s">
        <v>572</v>
      </c>
      <c r="J196" s="78"/>
      <c r="K196" s="71"/>
      <c r="L196" s="16">
        <v>25</v>
      </c>
      <c r="M196" s="16">
        <v>15</v>
      </c>
      <c r="N196" s="16">
        <v>0</v>
      </c>
      <c r="O196" s="16">
        <v>15</v>
      </c>
      <c r="P196" s="20">
        <f>L196+M196+N196+O196</f>
        <v>55</v>
      </c>
      <c r="Q196" s="15" t="str">
        <f>IF(P196&gt;=80,"✅ High Quality",IF(P196&gt;=60,"🟡 Acceptable",IF(P196&gt;=40,"⚠️ Use with Caution","🔴 Insufficient")))</f>
        <v>⚠️ Use with Caution</v>
      </c>
      <c r="R196" s="82"/>
    </row>
    <row r="197" spans="1:18" ht="46" hidden="1" customHeight="1" x14ac:dyDescent="0.2">
      <c r="A197" s="13"/>
      <c r="B197" s="13" t="s">
        <v>279</v>
      </c>
      <c r="C197" s="14" t="s">
        <v>293</v>
      </c>
      <c r="D197" s="15" t="s">
        <v>294</v>
      </c>
      <c r="E197" s="73"/>
      <c r="F197" s="74" t="s">
        <v>296</v>
      </c>
      <c r="G197" s="17" t="s">
        <v>295</v>
      </c>
      <c r="H197" s="18">
        <v>2024</v>
      </c>
      <c r="I197" s="71" t="s">
        <v>572</v>
      </c>
      <c r="J197" s="78"/>
      <c r="K197" s="71"/>
      <c r="L197" s="16">
        <v>20</v>
      </c>
      <c r="M197" s="16">
        <v>10</v>
      </c>
      <c r="N197" s="16">
        <v>0</v>
      </c>
      <c r="O197" s="16">
        <v>15</v>
      </c>
      <c r="P197" s="20">
        <f>L197+M197+N197+O197</f>
        <v>45</v>
      </c>
      <c r="Q197" s="15" t="str">
        <f>IF(P197&gt;=80,"✅ High Quality",IF(P197&gt;=60,"🟡 Acceptable",IF(P197&gt;=40,"⚠️ Use with Caution","🔴 Insufficient")))</f>
        <v>⚠️ Use with Caution</v>
      </c>
      <c r="R197" s="82"/>
    </row>
    <row r="198" spans="1:18" ht="46" hidden="1" customHeight="1" x14ac:dyDescent="0.2">
      <c r="A198" s="13"/>
      <c r="B198" s="13" t="s">
        <v>279</v>
      </c>
      <c r="C198" s="14" t="s">
        <v>293</v>
      </c>
      <c r="D198" s="15" t="s">
        <v>294</v>
      </c>
      <c r="E198" s="73"/>
      <c r="F198" s="74" t="s">
        <v>526</v>
      </c>
      <c r="G198" s="17" t="s">
        <v>295</v>
      </c>
      <c r="H198" s="18">
        <v>2023</v>
      </c>
      <c r="I198" s="71" t="s">
        <v>572</v>
      </c>
      <c r="J198" s="78"/>
      <c r="K198" s="71"/>
      <c r="L198" s="16">
        <v>25</v>
      </c>
      <c r="M198" s="16">
        <v>15</v>
      </c>
      <c r="N198" s="16">
        <v>0</v>
      </c>
      <c r="O198" s="16">
        <v>15</v>
      </c>
      <c r="P198" s="20">
        <f>L198+M198+N198+O198</f>
        <v>55</v>
      </c>
      <c r="Q198" s="15" t="str">
        <f>IF(P198&gt;=80,"✅ High Quality",IF(P198&gt;=60,"🟡 Acceptable",IF(P198&gt;=40,"⚠️ Use with Caution","🔴 Insufficient")))</f>
        <v>⚠️ Use with Caution</v>
      </c>
      <c r="R198" s="82"/>
    </row>
    <row r="199" spans="1:18" ht="46" hidden="1" customHeight="1" x14ac:dyDescent="0.2">
      <c r="A199" s="13"/>
      <c r="B199" s="13" t="s">
        <v>279</v>
      </c>
      <c r="C199" s="14" t="s">
        <v>293</v>
      </c>
      <c r="D199" s="15" t="s">
        <v>294</v>
      </c>
      <c r="E199" s="73"/>
      <c r="F199" s="74" t="s">
        <v>296</v>
      </c>
      <c r="G199" s="17" t="s">
        <v>295</v>
      </c>
      <c r="H199" s="18">
        <v>2023</v>
      </c>
      <c r="I199" s="71" t="s">
        <v>572</v>
      </c>
      <c r="J199" s="78"/>
      <c r="K199" s="71"/>
      <c r="L199" s="16">
        <v>20</v>
      </c>
      <c r="M199" s="16">
        <v>10</v>
      </c>
      <c r="N199" s="16">
        <v>0</v>
      </c>
      <c r="O199" s="16">
        <v>15</v>
      </c>
      <c r="P199" s="20">
        <f>L199+M199+N199+O199</f>
        <v>45</v>
      </c>
      <c r="Q199" s="15" t="str">
        <f>IF(P199&gt;=80,"✅ High Quality",IF(P199&gt;=60,"🟡 Acceptable",IF(P199&gt;=40,"⚠️ Use with Caution","🔴 Insufficient")))</f>
        <v>⚠️ Use with Caution</v>
      </c>
      <c r="R199" s="82"/>
    </row>
    <row r="200" spans="1:18" ht="46" hidden="1" customHeight="1" x14ac:dyDescent="0.2">
      <c r="A200" s="13"/>
      <c r="B200" s="13" t="s">
        <v>279</v>
      </c>
      <c r="C200" s="14" t="s">
        <v>293</v>
      </c>
      <c r="D200" s="15" t="s">
        <v>294</v>
      </c>
      <c r="E200" s="73"/>
      <c r="F200" s="74" t="s">
        <v>526</v>
      </c>
      <c r="G200" s="17" t="s">
        <v>295</v>
      </c>
      <c r="H200" s="18">
        <v>2022</v>
      </c>
      <c r="I200" s="71" t="s">
        <v>572</v>
      </c>
      <c r="J200" s="78"/>
      <c r="K200" s="71"/>
      <c r="L200" s="16">
        <v>25</v>
      </c>
      <c r="M200" s="16">
        <v>15</v>
      </c>
      <c r="N200" s="16">
        <v>0</v>
      </c>
      <c r="O200" s="16">
        <v>15</v>
      </c>
      <c r="P200" s="20">
        <f>L200+M200+N200+O200</f>
        <v>55</v>
      </c>
      <c r="Q200" s="15" t="str">
        <f>IF(P200&gt;=80,"✅ High Quality",IF(P200&gt;=60,"🟡 Acceptable",IF(P200&gt;=40,"⚠️ Use with Caution","🔴 Insufficient")))</f>
        <v>⚠️ Use with Caution</v>
      </c>
      <c r="R200" s="82"/>
    </row>
    <row r="201" spans="1:18" ht="46" hidden="1" customHeight="1" x14ac:dyDescent="0.2">
      <c r="A201" s="13"/>
      <c r="B201" s="13" t="s">
        <v>279</v>
      </c>
      <c r="C201" s="14" t="s">
        <v>293</v>
      </c>
      <c r="D201" s="15" t="s">
        <v>294</v>
      </c>
      <c r="E201" s="73"/>
      <c r="F201" s="74" t="s">
        <v>296</v>
      </c>
      <c r="G201" s="17" t="s">
        <v>295</v>
      </c>
      <c r="H201" s="18">
        <v>2022</v>
      </c>
      <c r="I201" s="71" t="s">
        <v>572</v>
      </c>
      <c r="J201" s="78"/>
      <c r="K201" s="71"/>
      <c r="L201" s="16">
        <v>20</v>
      </c>
      <c r="M201" s="16">
        <v>10</v>
      </c>
      <c r="N201" s="16">
        <v>0</v>
      </c>
      <c r="O201" s="16">
        <v>15</v>
      </c>
      <c r="P201" s="20">
        <f>L201+M201+N201+O201</f>
        <v>45</v>
      </c>
      <c r="Q201" s="15" t="str">
        <f>IF(P201&gt;=80,"✅ High Quality",IF(P201&gt;=60,"🟡 Acceptable",IF(P201&gt;=40,"⚠️ Use with Caution","🔴 Insufficient")))</f>
        <v>⚠️ Use with Caution</v>
      </c>
      <c r="R201" s="82"/>
    </row>
    <row r="202" spans="1:18" ht="46" hidden="1" customHeight="1" x14ac:dyDescent="0.2">
      <c r="A202" s="13"/>
      <c r="B202" s="13" t="s">
        <v>279</v>
      </c>
      <c r="C202" s="14" t="s">
        <v>293</v>
      </c>
      <c r="D202" s="15" t="s">
        <v>294</v>
      </c>
      <c r="E202" s="73"/>
      <c r="F202" s="74" t="s">
        <v>526</v>
      </c>
      <c r="G202" s="17" t="s">
        <v>295</v>
      </c>
      <c r="H202" s="18">
        <v>2021</v>
      </c>
      <c r="I202" s="71" t="s">
        <v>572</v>
      </c>
      <c r="J202" s="78"/>
      <c r="K202" s="71"/>
      <c r="L202" s="16">
        <v>25</v>
      </c>
      <c r="M202" s="16">
        <v>15</v>
      </c>
      <c r="N202" s="16">
        <v>0</v>
      </c>
      <c r="O202" s="16">
        <v>15</v>
      </c>
      <c r="P202" s="20">
        <f>L202+M202+N202+O202</f>
        <v>55</v>
      </c>
      <c r="Q202" s="15" t="str">
        <f>IF(P202&gt;=80,"✅ High Quality",IF(P202&gt;=60,"🟡 Acceptable",IF(P202&gt;=40,"⚠️ Use with Caution","🔴 Insufficient")))</f>
        <v>⚠️ Use with Caution</v>
      </c>
      <c r="R202" s="82"/>
    </row>
    <row r="203" spans="1:18" ht="46" hidden="1" customHeight="1" x14ac:dyDescent="0.2">
      <c r="A203" s="13"/>
      <c r="B203" s="13" t="s">
        <v>279</v>
      </c>
      <c r="C203" s="14" t="s">
        <v>293</v>
      </c>
      <c r="D203" s="15" t="s">
        <v>294</v>
      </c>
      <c r="E203" s="73"/>
      <c r="F203" s="74" t="s">
        <v>296</v>
      </c>
      <c r="G203" s="17" t="s">
        <v>295</v>
      </c>
      <c r="H203" s="18">
        <v>2021</v>
      </c>
      <c r="I203" s="71" t="s">
        <v>572</v>
      </c>
      <c r="J203" s="78"/>
      <c r="K203" s="71"/>
      <c r="L203" s="16">
        <v>20</v>
      </c>
      <c r="M203" s="16">
        <v>10</v>
      </c>
      <c r="N203" s="16">
        <v>0</v>
      </c>
      <c r="O203" s="16">
        <v>15</v>
      </c>
      <c r="P203" s="20">
        <f>L203+M203+N203+O203</f>
        <v>45</v>
      </c>
      <c r="Q203" s="15" t="str">
        <f>IF(P203&gt;=80,"✅ High Quality",IF(P203&gt;=60,"🟡 Acceptable",IF(P203&gt;=40,"⚠️ Use with Caution","🔴 Insufficient")))</f>
        <v>⚠️ Use with Caution</v>
      </c>
      <c r="R203" s="82"/>
    </row>
    <row r="204" spans="1:18" ht="46" hidden="1" customHeight="1" x14ac:dyDescent="0.2">
      <c r="A204" s="13"/>
      <c r="B204" s="13" t="s">
        <v>279</v>
      </c>
      <c r="C204" s="14" t="s">
        <v>293</v>
      </c>
      <c r="D204" s="15" t="s">
        <v>294</v>
      </c>
      <c r="E204" s="73"/>
      <c r="F204" s="74" t="s">
        <v>526</v>
      </c>
      <c r="G204" s="17" t="s">
        <v>295</v>
      </c>
      <c r="H204" s="18">
        <v>2020</v>
      </c>
      <c r="I204" s="71" t="s">
        <v>572</v>
      </c>
      <c r="J204" s="78"/>
      <c r="K204" s="71"/>
      <c r="L204" s="16">
        <v>25</v>
      </c>
      <c r="M204" s="16">
        <v>15</v>
      </c>
      <c r="N204" s="16">
        <v>0</v>
      </c>
      <c r="O204" s="16">
        <v>15</v>
      </c>
      <c r="P204" s="20">
        <f>L204+M204+N204+O204</f>
        <v>55</v>
      </c>
      <c r="Q204" s="15" t="str">
        <f>IF(P204&gt;=80,"✅ High Quality",IF(P204&gt;=60,"🟡 Acceptable",IF(P204&gt;=40,"⚠️ Use with Caution","🔴 Insufficient")))</f>
        <v>⚠️ Use with Caution</v>
      </c>
      <c r="R204" s="82"/>
    </row>
    <row r="205" spans="1:18" ht="46" hidden="1" customHeight="1" x14ac:dyDescent="0.2">
      <c r="A205" s="13"/>
      <c r="B205" s="13" t="s">
        <v>279</v>
      </c>
      <c r="C205" s="14" t="s">
        <v>293</v>
      </c>
      <c r="D205" s="15" t="s">
        <v>294</v>
      </c>
      <c r="E205" s="73"/>
      <c r="F205" s="74" t="s">
        <v>296</v>
      </c>
      <c r="G205" s="17" t="s">
        <v>295</v>
      </c>
      <c r="H205" s="18">
        <v>2020</v>
      </c>
      <c r="I205" s="71" t="s">
        <v>572</v>
      </c>
      <c r="J205" s="78"/>
      <c r="K205" s="71"/>
      <c r="L205" s="16">
        <v>20</v>
      </c>
      <c r="M205" s="16">
        <v>10</v>
      </c>
      <c r="N205" s="16">
        <v>0</v>
      </c>
      <c r="O205" s="16">
        <v>15</v>
      </c>
      <c r="P205" s="20">
        <f>L205+M205+N205+O205</f>
        <v>45</v>
      </c>
      <c r="Q205" s="15" t="str">
        <f>IF(P205&gt;=80,"✅ High Quality",IF(P205&gt;=60,"🟡 Acceptable",IF(P205&gt;=40,"⚠️ Use with Caution","🔴 Insufficient")))</f>
        <v>⚠️ Use with Caution</v>
      </c>
      <c r="R205" s="82"/>
    </row>
    <row r="206" spans="1:18" ht="46" hidden="1" customHeight="1" x14ac:dyDescent="0.2">
      <c r="A206" s="13"/>
      <c r="B206" s="13" t="s">
        <v>279</v>
      </c>
      <c r="C206" s="14" t="s">
        <v>293</v>
      </c>
      <c r="D206" s="15" t="s">
        <v>294</v>
      </c>
      <c r="E206" s="73"/>
      <c r="F206" s="74" t="s">
        <v>526</v>
      </c>
      <c r="G206" s="17" t="s">
        <v>295</v>
      </c>
      <c r="H206" s="18">
        <v>2019</v>
      </c>
      <c r="I206" s="71" t="s">
        <v>572</v>
      </c>
      <c r="J206" s="78"/>
      <c r="K206" s="71"/>
      <c r="L206" s="16">
        <v>20</v>
      </c>
      <c r="M206" s="16">
        <v>10</v>
      </c>
      <c r="N206" s="16">
        <v>0</v>
      </c>
      <c r="O206" s="16">
        <v>15</v>
      </c>
      <c r="P206" s="20">
        <f>L206+M206+N206+O206</f>
        <v>45</v>
      </c>
      <c r="Q206" s="15" t="str">
        <f>IF(P206&gt;=80,"✅ High Quality",IF(P206&gt;=60,"🟡 Acceptable",IF(P206&gt;=40,"⚠️ Use with Caution","🔴 Insufficient")))</f>
        <v>⚠️ Use with Caution</v>
      </c>
      <c r="R206" s="82"/>
    </row>
    <row r="207" spans="1:18" ht="46" hidden="1" customHeight="1" x14ac:dyDescent="0.2">
      <c r="A207" s="13"/>
      <c r="B207" s="13" t="s">
        <v>279</v>
      </c>
      <c r="C207" s="14" t="s">
        <v>293</v>
      </c>
      <c r="D207" s="15" t="s">
        <v>294</v>
      </c>
      <c r="E207" s="73"/>
      <c r="F207" s="74" t="s">
        <v>296</v>
      </c>
      <c r="G207" s="17" t="s">
        <v>295</v>
      </c>
      <c r="H207" s="18">
        <v>2019</v>
      </c>
      <c r="I207" s="71" t="s">
        <v>572</v>
      </c>
      <c r="J207" s="78"/>
      <c r="K207" s="71"/>
      <c r="L207" s="16">
        <v>20</v>
      </c>
      <c r="M207" s="16">
        <v>10</v>
      </c>
      <c r="N207" s="16">
        <v>0</v>
      </c>
      <c r="O207" s="16">
        <v>15</v>
      </c>
      <c r="P207" s="20">
        <f>L207+M207+N207+O207</f>
        <v>45</v>
      </c>
      <c r="Q207" s="15" t="str">
        <f>IF(P207&gt;=80,"✅ High Quality",IF(P207&gt;=60,"🟡 Acceptable",IF(P207&gt;=40,"⚠️ Use with Caution","🔴 Insufficient")))</f>
        <v>⚠️ Use with Caution</v>
      </c>
      <c r="R207" s="82"/>
    </row>
    <row r="208" spans="1:18" ht="46" hidden="1" customHeight="1" x14ac:dyDescent="0.2">
      <c r="A208" s="13"/>
      <c r="B208" s="13" t="s">
        <v>279</v>
      </c>
      <c r="C208" s="22" t="s">
        <v>293</v>
      </c>
      <c r="D208" s="23" t="s">
        <v>129</v>
      </c>
      <c r="E208" s="73"/>
      <c r="F208" s="74" t="s">
        <v>526</v>
      </c>
      <c r="G208" s="24" t="s">
        <v>99</v>
      </c>
      <c r="H208" s="18">
        <v>2024</v>
      </c>
      <c r="I208" s="71" t="s">
        <v>572</v>
      </c>
      <c r="J208" s="78"/>
      <c r="K208" s="71"/>
      <c r="L208" s="16">
        <v>15</v>
      </c>
      <c r="M208" s="16">
        <v>10</v>
      </c>
      <c r="N208" s="16">
        <v>0</v>
      </c>
      <c r="O208" s="16">
        <v>15</v>
      </c>
      <c r="P208" s="20">
        <f>L208+M208+N208+O208</f>
        <v>40</v>
      </c>
      <c r="Q208" s="23" t="str">
        <f>IF(P208&gt;=80,"✅ High Quality",IF(P208&gt;=60,"🟡 Acceptable",IF(P208&gt;=40,"⚠️ Use with Caution","🔴 Insufficient")))</f>
        <v>⚠️ Use with Caution</v>
      </c>
      <c r="R208" s="82"/>
    </row>
    <row r="209" spans="1:18" ht="46" hidden="1" customHeight="1" x14ac:dyDescent="0.2">
      <c r="A209" s="13"/>
      <c r="B209" s="13" t="s">
        <v>279</v>
      </c>
      <c r="C209" s="22" t="s">
        <v>293</v>
      </c>
      <c r="D209" s="23" t="s">
        <v>129</v>
      </c>
      <c r="E209" s="73"/>
      <c r="F209" s="74" t="s">
        <v>296</v>
      </c>
      <c r="G209" s="24" t="s">
        <v>99</v>
      </c>
      <c r="H209" s="18">
        <v>2024</v>
      </c>
      <c r="I209" s="71" t="s">
        <v>572</v>
      </c>
      <c r="J209" s="78"/>
      <c r="K209" s="71"/>
      <c r="L209" s="16">
        <v>15</v>
      </c>
      <c r="M209" s="16">
        <v>10</v>
      </c>
      <c r="N209" s="16">
        <v>0</v>
      </c>
      <c r="O209" s="16">
        <v>15</v>
      </c>
      <c r="P209" s="20">
        <f>L209+M209+N209+O209</f>
        <v>40</v>
      </c>
      <c r="Q209" s="23" t="str">
        <f>IF(P209&gt;=80,"✅ High Quality",IF(P209&gt;=60,"🟡 Acceptable",IF(P209&gt;=40,"⚠️ Use with Caution","🔴 Insufficient")))</f>
        <v>⚠️ Use with Caution</v>
      </c>
      <c r="R209" s="82"/>
    </row>
    <row r="210" spans="1:18" ht="46" hidden="1" customHeight="1" x14ac:dyDescent="0.2">
      <c r="A210" s="13"/>
      <c r="B210" s="13" t="s">
        <v>279</v>
      </c>
      <c r="C210" s="22" t="s">
        <v>293</v>
      </c>
      <c r="D210" s="23" t="s">
        <v>129</v>
      </c>
      <c r="E210" s="73"/>
      <c r="F210" s="74" t="s">
        <v>526</v>
      </c>
      <c r="G210" s="24" t="s">
        <v>99</v>
      </c>
      <c r="H210" s="18">
        <v>2023</v>
      </c>
      <c r="I210" s="71" t="s">
        <v>572</v>
      </c>
      <c r="J210" s="78"/>
      <c r="K210" s="71"/>
      <c r="L210" s="16">
        <v>15</v>
      </c>
      <c r="M210" s="16">
        <v>10</v>
      </c>
      <c r="N210" s="16">
        <v>0</v>
      </c>
      <c r="O210" s="16">
        <v>15</v>
      </c>
      <c r="P210" s="20">
        <f>L210+M210+N210+O210</f>
        <v>40</v>
      </c>
      <c r="Q210" s="23" t="str">
        <f>IF(P210&gt;=80,"✅ High Quality",IF(P210&gt;=60,"🟡 Acceptable",IF(P210&gt;=40,"⚠️ Use with Caution","🔴 Insufficient")))</f>
        <v>⚠️ Use with Caution</v>
      </c>
      <c r="R210" s="82"/>
    </row>
    <row r="211" spans="1:18" ht="46" hidden="1" customHeight="1" x14ac:dyDescent="0.2">
      <c r="A211" s="13"/>
      <c r="B211" s="13" t="s">
        <v>279</v>
      </c>
      <c r="C211" s="22" t="s">
        <v>293</v>
      </c>
      <c r="D211" s="23" t="s">
        <v>129</v>
      </c>
      <c r="E211" s="73"/>
      <c r="F211" s="74" t="s">
        <v>296</v>
      </c>
      <c r="G211" s="24" t="s">
        <v>99</v>
      </c>
      <c r="H211" s="18">
        <v>2023</v>
      </c>
      <c r="I211" s="71" t="s">
        <v>572</v>
      </c>
      <c r="J211" s="78"/>
      <c r="K211" s="71"/>
      <c r="L211" s="16">
        <v>15</v>
      </c>
      <c r="M211" s="16">
        <v>10</v>
      </c>
      <c r="N211" s="16">
        <v>0</v>
      </c>
      <c r="O211" s="16">
        <v>15</v>
      </c>
      <c r="P211" s="20">
        <f>L211+M211+N211+O211</f>
        <v>40</v>
      </c>
      <c r="Q211" s="23" t="str">
        <f>IF(P211&gt;=80,"✅ High Quality",IF(P211&gt;=60,"🟡 Acceptable",IF(P211&gt;=40,"⚠️ Use with Caution","🔴 Insufficient")))</f>
        <v>⚠️ Use with Caution</v>
      </c>
      <c r="R211" s="82"/>
    </row>
    <row r="212" spans="1:18" ht="46" hidden="1" customHeight="1" x14ac:dyDescent="0.2">
      <c r="A212" s="13"/>
      <c r="B212" s="13" t="s">
        <v>279</v>
      </c>
      <c r="C212" s="22" t="s">
        <v>293</v>
      </c>
      <c r="D212" s="23" t="s">
        <v>129</v>
      </c>
      <c r="E212" s="73"/>
      <c r="F212" s="74" t="s">
        <v>526</v>
      </c>
      <c r="G212" s="24" t="s">
        <v>99</v>
      </c>
      <c r="H212" s="18">
        <v>2022</v>
      </c>
      <c r="I212" s="71" t="s">
        <v>572</v>
      </c>
      <c r="J212" s="78"/>
      <c r="K212" s="71"/>
      <c r="L212" s="16">
        <v>15</v>
      </c>
      <c r="M212" s="16">
        <v>10</v>
      </c>
      <c r="N212" s="16">
        <v>0</v>
      </c>
      <c r="O212" s="16">
        <v>15</v>
      </c>
      <c r="P212" s="20">
        <f>L212+M212+N212+O212</f>
        <v>40</v>
      </c>
      <c r="Q212" s="23" t="str">
        <f>IF(P212&gt;=80,"✅ High Quality",IF(P212&gt;=60,"🟡 Acceptable",IF(P212&gt;=40,"⚠️ Use with Caution","🔴 Insufficient")))</f>
        <v>⚠️ Use with Caution</v>
      </c>
      <c r="R212" s="82"/>
    </row>
    <row r="213" spans="1:18" ht="46" hidden="1" customHeight="1" x14ac:dyDescent="0.2">
      <c r="A213" s="13"/>
      <c r="B213" s="13" t="s">
        <v>279</v>
      </c>
      <c r="C213" s="22" t="s">
        <v>293</v>
      </c>
      <c r="D213" s="23" t="s">
        <v>129</v>
      </c>
      <c r="E213" s="73"/>
      <c r="F213" s="74" t="s">
        <v>296</v>
      </c>
      <c r="G213" s="24" t="s">
        <v>99</v>
      </c>
      <c r="H213" s="18">
        <v>2022</v>
      </c>
      <c r="I213" s="71" t="s">
        <v>572</v>
      </c>
      <c r="J213" s="78"/>
      <c r="K213" s="71"/>
      <c r="L213" s="16">
        <v>15</v>
      </c>
      <c r="M213" s="16">
        <v>10</v>
      </c>
      <c r="N213" s="16">
        <v>0</v>
      </c>
      <c r="O213" s="16">
        <v>15</v>
      </c>
      <c r="P213" s="20">
        <f>L213+M213+N213+O213</f>
        <v>40</v>
      </c>
      <c r="Q213" s="23" t="str">
        <f>IF(P213&gt;=80,"✅ High Quality",IF(P213&gt;=60,"🟡 Acceptable",IF(P213&gt;=40,"⚠️ Use with Caution","🔴 Insufficient")))</f>
        <v>⚠️ Use with Caution</v>
      </c>
      <c r="R213" s="82"/>
    </row>
    <row r="214" spans="1:18" ht="46" hidden="1" customHeight="1" x14ac:dyDescent="0.2">
      <c r="A214" s="13"/>
      <c r="B214" s="13" t="s">
        <v>279</v>
      </c>
      <c r="C214" s="22" t="s">
        <v>293</v>
      </c>
      <c r="D214" s="23" t="s">
        <v>129</v>
      </c>
      <c r="E214" s="73"/>
      <c r="F214" s="74" t="s">
        <v>526</v>
      </c>
      <c r="G214" s="24" t="s">
        <v>99</v>
      </c>
      <c r="H214" s="18">
        <v>2021</v>
      </c>
      <c r="I214" s="71" t="s">
        <v>572</v>
      </c>
      <c r="J214" s="78"/>
      <c r="K214" s="71"/>
      <c r="L214" s="16">
        <v>15</v>
      </c>
      <c r="M214" s="16">
        <v>10</v>
      </c>
      <c r="N214" s="16">
        <v>0</v>
      </c>
      <c r="O214" s="16">
        <v>15</v>
      </c>
      <c r="P214" s="20">
        <f>L214+M214+N214+O214</f>
        <v>40</v>
      </c>
      <c r="Q214" s="23" t="str">
        <f>IF(P214&gt;=80,"✅ High Quality",IF(P214&gt;=60,"🟡 Acceptable",IF(P214&gt;=40,"⚠️ Use with Caution","🔴 Insufficient")))</f>
        <v>⚠️ Use with Caution</v>
      </c>
      <c r="R214" s="82"/>
    </row>
    <row r="215" spans="1:18" ht="46" hidden="1" customHeight="1" x14ac:dyDescent="0.2">
      <c r="A215" s="13"/>
      <c r="B215" s="13" t="s">
        <v>279</v>
      </c>
      <c r="C215" s="22" t="s">
        <v>293</v>
      </c>
      <c r="D215" s="23" t="s">
        <v>129</v>
      </c>
      <c r="E215" s="73"/>
      <c r="F215" s="74" t="s">
        <v>296</v>
      </c>
      <c r="G215" s="24" t="s">
        <v>99</v>
      </c>
      <c r="H215" s="18">
        <v>2021</v>
      </c>
      <c r="I215" s="71" t="s">
        <v>572</v>
      </c>
      <c r="J215" s="78"/>
      <c r="K215" s="71"/>
      <c r="L215" s="16">
        <v>15</v>
      </c>
      <c r="M215" s="16">
        <v>10</v>
      </c>
      <c r="N215" s="16">
        <v>0</v>
      </c>
      <c r="O215" s="16">
        <v>15</v>
      </c>
      <c r="P215" s="20">
        <f>L215+M215+N215+O215</f>
        <v>40</v>
      </c>
      <c r="Q215" s="23" t="str">
        <f>IF(P215&gt;=80,"✅ High Quality",IF(P215&gt;=60,"🟡 Acceptable",IF(P215&gt;=40,"⚠️ Use with Caution","🔴 Insufficient")))</f>
        <v>⚠️ Use with Caution</v>
      </c>
      <c r="R215" s="82"/>
    </row>
    <row r="216" spans="1:18" ht="46" hidden="1" customHeight="1" x14ac:dyDescent="0.2">
      <c r="A216" s="13"/>
      <c r="B216" s="13" t="s">
        <v>279</v>
      </c>
      <c r="C216" s="22" t="s">
        <v>293</v>
      </c>
      <c r="D216" s="23" t="s">
        <v>129</v>
      </c>
      <c r="E216" s="73"/>
      <c r="F216" s="74" t="s">
        <v>526</v>
      </c>
      <c r="G216" s="24" t="s">
        <v>99</v>
      </c>
      <c r="H216" s="18">
        <v>2020</v>
      </c>
      <c r="I216" s="71" t="s">
        <v>572</v>
      </c>
      <c r="J216" s="78"/>
      <c r="K216" s="71"/>
      <c r="L216" s="16">
        <v>15</v>
      </c>
      <c r="M216" s="16">
        <v>10</v>
      </c>
      <c r="N216" s="16">
        <v>0</v>
      </c>
      <c r="O216" s="16">
        <v>15</v>
      </c>
      <c r="P216" s="20">
        <f>L216+M216+N216+O216</f>
        <v>40</v>
      </c>
      <c r="Q216" s="23" t="str">
        <f>IF(P216&gt;=80,"✅ High Quality",IF(P216&gt;=60,"🟡 Acceptable",IF(P216&gt;=40,"⚠️ Use with Caution","🔴 Insufficient")))</f>
        <v>⚠️ Use with Caution</v>
      </c>
      <c r="R216" s="82"/>
    </row>
    <row r="217" spans="1:18" ht="46" hidden="1" customHeight="1" x14ac:dyDescent="0.2">
      <c r="A217" s="13"/>
      <c r="B217" s="13" t="s">
        <v>279</v>
      </c>
      <c r="C217" s="22" t="s">
        <v>293</v>
      </c>
      <c r="D217" s="23" t="s">
        <v>129</v>
      </c>
      <c r="E217" s="73"/>
      <c r="F217" s="74" t="s">
        <v>296</v>
      </c>
      <c r="G217" s="24" t="s">
        <v>99</v>
      </c>
      <c r="H217" s="18">
        <v>2020</v>
      </c>
      <c r="I217" s="71" t="s">
        <v>572</v>
      </c>
      <c r="J217" s="78"/>
      <c r="K217" s="71"/>
      <c r="L217" s="16">
        <v>15</v>
      </c>
      <c r="M217" s="16">
        <v>10</v>
      </c>
      <c r="N217" s="16">
        <v>0</v>
      </c>
      <c r="O217" s="16">
        <v>15</v>
      </c>
      <c r="P217" s="20">
        <f>L217+M217+N217+O217</f>
        <v>40</v>
      </c>
      <c r="Q217" s="23" t="str">
        <f>IF(P217&gt;=80,"✅ High Quality",IF(P217&gt;=60,"🟡 Acceptable",IF(P217&gt;=40,"⚠️ Use with Caution","🔴 Insufficient")))</f>
        <v>⚠️ Use with Caution</v>
      </c>
      <c r="R217" s="82"/>
    </row>
    <row r="218" spans="1:18" ht="46" hidden="1" customHeight="1" x14ac:dyDescent="0.2">
      <c r="A218" s="13"/>
      <c r="B218" s="13" t="s">
        <v>279</v>
      </c>
      <c r="C218" s="22" t="s">
        <v>293</v>
      </c>
      <c r="D218" s="23" t="s">
        <v>129</v>
      </c>
      <c r="E218" s="73"/>
      <c r="F218" s="74" t="s">
        <v>296</v>
      </c>
      <c r="G218" s="24" t="s">
        <v>99</v>
      </c>
      <c r="H218" s="18">
        <v>2019</v>
      </c>
      <c r="I218" s="71" t="s">
        <v>572</v>
      </c>
      <c r="J218" s="78"/>
      <c r="K218" s="71"/>
      <c r="L218" s="16">
        <v>15</v>
      </c>
      <c r="M218" s="16">
        <v>10</v>
      </c>
      <c r="N218" s="16">
        <v>0</v>
      </c>
      <c r="O218" s="16">
        <v>15</v>
      </c>
      <c r="P218" s="20">
        <f>L218+M218+N218+O218</f>
        <v>40</v>
      </c>
      <c r="Q218" s="23" t="str">
        <f>IF(P218&gt;=80,"✅ High Quality",IF(P218&gt;=60,"🟡 Acceptable",IF(P218&gt;=40,"⚠️ Use with Caution","🔴 Insufficient")))</f>
        <v>⚠️ Use with Caution</v>
      </c>
      <c r="R218" s="82"/>
    </row>
    <row r="219" spans="1:18" ht="46" hidden="1" customHeight="1" x14ac:dyDescent="0.2">
      <c r="A219" s="13"/>
      <c r="B219" s="13" t="s">
        <v>279</v>
      </c>
      <c r="C219" s="22" t="s">
        <v>288</v>
      </c>
      <c r="D219" s="23" t="s">
        <v>289</v>
      </c>
      <c r="E219" s="73"/>
      <c r="F219" s="74" t="s">
        <v>296</v>
      </c>
      <c r="G219" s="24" t="s">
        <v>290</v>
      </c>
      <c r="H219" s="18">
        <v>2024</v>
      </c>
      <c r="I219" s="71" t="s">
        <v>572</v>
      </c>
      <c r="J219" s="78"/>
      <c r="K219" s="71"/>
      <c r="L219" s="16">
        <v>25</v>
      </c>
      <c r="M219" s="16">
        <v>15</v>
      </c>
      <c r="N219" s="16">
        <v>0</v>
      </c>
      <c r="O219" s="16">
        <v>15</v>
      </c>
      <c r="P219" s="20">
        <f>L219+M219+N219+O219</f>
        <v>55</v>
      </c>
      <c r="Q219" s="23" t="str">
        <f>IF(P219&gt;=80,"✅ High Quality",IF(P219&gt;=60,"🟡 Acceptable",IF(P219&gt;=40,"⚠️ Use with Caution","🔴 Insufficient")))</f>
        <v>⚠️ Use with Caution</v>
      </c>
      <c r="R219" s="82"/>
    </row>
    <row r="220" spans="1:18" ht="46" hidden="1" customHeight="1" x14ac:dyDescent="0.2">
      <c r="A220" s="13"/>
      <c r="B220" s="13" t="s">
        <v>279</v>
      </c>
      <c r="C220" s="22" t="s">
        <v>288</v>
      </c>
      <c r="D220" s="23" t="s">
        <v>289</v>
      </c>
      <c r="E220" s="73"/>
      <c r="F220" s="74" t="s">
        <v>296</v>
      </c>
      <c r="G220" s="24" t="s">
        <v>290</v>
      </c>
      <c r="H220" s="18">
        <v>2023</v>
      </c>
      <c r="I220" s="71" t="s">
        <v>572</v>
      </c>
      <c r="J220" s="78"/>
      <c r="K220" s="71"/>
      <c r="L220" s="16">
        <v>25</v>
      </c>
      <c r="M220" s="16">
        <v>15</v>
      </c>
      <c r="N220" s="16">
        <v>0</v>
      </c>
      <c r="O220" s="16">
        <v>15</v>
      </c>
      <c r="P220" s="20">
        <f>L220+M220+N220+O220</f>
        <v>55</v>
      </c>
      <c r="Q220" s="23" t="str">
        <f>IF(P220&gt;=80,"✅ High Quality",IF(P220&gt;=60,"🟡 Acceptable",IF(P220&gt;=40,"⚠️ Use with Caution","🔴 Insufficient")))</f>
        <v>⚠️ Use with Caution</v>
      </c>
      <c r="R220" s="82"/>
    </row>
    <row r="221" spans="1:18" ht="46" hidden="1" customHeight="1" x14ac:dyDescent="0.2">
      <c r="A221" s="13"/>
      <c r="B221" s="13" t="s">
        <v>279</v>
      </c>
      <c r="C221" s="22" t="s">
        <v>288</v>
      </c>
      <c r="D221" s="23" t="s">
        <v>289</v>
      </c>
      <c r="E221" s="73"/>
      <c r="F221" s="74" t="s">
        <v>296</v>
      </c>
      <c r="G221" s="24" t="s">
        <v>290</v>
      </c>
      <c r="H221" s="18">
        <v>2022</v>
      </c>
      <c r="I221" s="71" t="s">
        <v>572</v>
      </c>
      <c r="J221" s="78"/>
      <c r="K221" s="71"/>
      <c r="L221" s="16">
        <v>25</v>
      </c>
      <c r="M221" s="16">
        <v>15</v>
      </c>
      <c r="N221" s="16">
        <v>0</v>
      </c>
      <c r="O221" s="16">
        <v>15</v>
      </c>
      <c r="P221" s="20">
        <f>L221+M221+N221+O221</f>
        <v>55</v>
      </c>
      <c r="Q221" s="23" t="str">
        <f>IF(P221&gt;=80,"✅ High Quality",IF(P221&gt;=60,"🟡 Acceptable",IF(P221&gt;=40,"⚠️ Use with Caution","🔴 Insufficient")))</f>
        <v>⚠️ Use with Caution</v>
      </c>
      <c r="R221" s="82"/>
    </row>
    <row r="222" spans="1:18" ht="46" hidden="1" customHeight="1" x14ac:dyDescent="0.2">
      <c r="A222" s="13"/>
      <c r="B222" s="13" t="s">
        <v>279</v>
      </c>
      <c r="C222" s="22" t="s">
        <v>288</v>
      </c>
      <c r="D222" s="23" t="s">
        <v>289</v>
      </c>
      <c r="E222" s="73"/>
      <c r="F222" s="74" t="s">
        <v>296</v>
      </c>
      <c r="G222" s="24" t="s">
        <v>290</v>
      </c>
      <c r="H222" s="18">
        <v>2021</v>
      </c>
      <c r="I222" s="71" t="s">
        <v>572</v>
      </c>
      <c r="J222" s="78"/>
      <c r="K222" s="71"/>
      <c r="L222" s="16">
        <v>25</v>
      </c>
      <c r="M222" s="16">
        <v>15</v>
      </c>
      <c r="N222" s="16">
        <v>0</v>
      </c>
      <c r="O222" s="16">
        <v>15</v>
      </c>
      <c r="P222" s="20">
        <f>L222+M222+N222+O222</f>
        <v>55</v>
      </c>
      <c r="Q222" s="23" t="str">
        <f>IF(P222&gt;=80,"✅ High Quality",IF(P222&gt;=60,"🟡 Acceptable",IF(P222&gt;=40,"⚠️ Use with Caution","🔴 Insufficient")))</f>
        <v>⚠️ Use with Caution</v>
      </c>
      <c r="R222" s="82"/>
    </row>
    <row r="223" spans="1:18" ht="46" hidden="1" customHeight="1" x14ac:dyDescent="0.2">
      <c r="A223" s="13"/>
      <c r="B223" s="13" t="s">
        <v>279</v>
      </c>
      <c r="C223" s="22" t="s">
        <v>288</v>
      </c>
      <c r="D223" s="23" t="s">
        <v>289</v>
      </c>
      <c r="E223" s="73"/>
      <c r="F223" s="74" t="s">
        <v>296</v>
      </c>
      <c r="G223" s="24" t="s">
        <v>290</v>
      </c>
      <c r="H223" s="18">
        <v>2020</v>
      </c>
      <c r="I223" s="71" t="s">
        <v>572</v>
      </c>
      <c r="J223" s="78"/>
      <c r="K223" s="71"/>
      <c r="L223" s="16">
        <v>25</v>
      </c>
      <c r="M223" s="16">
        <v>15</v>
      </c>
      <c r="N223" s="16">
        <v>0</v>
      </c>
      <c r="O223" s="16">
        <v>15</v>
      </c>
      <c r="P223" s="20">
        <f>L223+M223+N223+O223</f>
        <v>55</v>
      </c>
      <c r="Q223" s="23" t="str">
        <f>IF(P223&gt;=80,"✅ High Quality",IF(P223&gt;=60,"🟡 Acceptable",IF(P223&gt;=40,"⚠️ Use with Caution","🔴 Insufficient")))</f>
        <v>⚠️ Use with Caution</v>
      </c>
      <c r="R223" s="82"/>
    </row>
    <row r="224" spans="1:18" ht="46" hidden="1" customHeight="1" x14ac:dyDescent="0.2">
      <c r="A224" s="13"/>
      <c r="B224" s="13" t="s">
        <v>279</v>
      </c>
      <c r="C224" s="22" t="s">
        <v>288</v>
      </c>
      <c r="D224" s="23" t="s">
        <v>289</v>
      </c>
      <c r="E224" s="73"/>
      <c r="F224" s="74" t="s">
        <v>296</v>
      </c>
      <c r="G224" s="24" t="s">
        <v>290</v>
      </c>
      <c r="H224" s="18">
        <v>2019</v>
      </c>
      <c r="I224" s="71" t="s">
        <v>572</v>
      </c>
      <c r="J224" s="78"/>
      <c r="K224" s="71"/>
      <c r="L224" s="16">
        <v>25</v>
      </c>
      <c r="M224" s="16">
        <v>15</v>
      </c>
      <c r="N224" s="16">
        <v>0</v>
      </c>
      <c r="O224" s="16">
        <v>15</v>
      </c>
      <c r="P224" s="20">
        <f>L224+M224+N224+O224</f>
        <v>55</v>
      </c>
      <c r="Q224" s="23" t="str">
        <f>IF(P224&gt;=80,"✅ High Quality",IF(P224&gt;=60,"🟡 Acceptable",IF(P224&gt;=40,"⚠️ Use with Caution","🔴 Insufficient")))</f>
        <v>⚠️ Use with Caution</v>
      </c>
      <c r="R224" s="82"/>
    </row>
    <row r="225" spans="1:18" ht="46" hidden="1" customHeight="1" x14ac:dyDescent="0.2">
      <c r="A225" s="13"/>
      <c r="B225" s="13" t="s">
        <v>279</v>
      </c>
      <c r="C225" s="22" t="s">
        <v>280</v>
      </c>
      <c r="D225" s="23" t="s">
        <v>538</v>
      </c>
      <c r="E225" s="73"/>
      <c r="F225" s="74" t="s">
        <v>296</v>
      </c>
      <c r="G225" s="24" t="s">
        <v>281</v>
      </c>
      <c r="H225" s="18">
        <v>2024</v>
      </c>
      <c r="I225" s="71"/>
      <c r="J225" s="78"/>
      <c r="K225" s="71"/>
      <c r="L225" s="16">
        <v>25</v>
      </c>
      <c r="M225" s="16">
        <v>10</v>
      </c>
      <c r="N225" s="16">
        <v>0</v>
      </c>
      <c r="O225" s="16">
        <v>15</v>
      </c>
      <c r="P225" s="20">
        <f>L225+M225+N225+O225</f>
        <v>50</v>
      </c>
      <c r="Q225" s="23" t="str">
        <f>IF(P225&gt;=80,"✅ High Quality",IF(P225&gt;=60,"🟡 Acceptable",IF(P225&gt;=40,"⚠️ Use with Caution","🔴 Insufficient")))</f>
        <v>⚠️ Use with Caution</v>
      </c>
      <c r="R225" s="82"/>
    </row>
    <row r="226" spans="1:18" ht="46" hidden="1" customHeight="1" x14ac:dyDescent="0.2">
      <c r="A226" s="13"/>
      <c r="B226" s="13" t="s">
        <v>279</v>
      </c>
      <c r="C226" s="22" t="s">
        <v>280</v>
      </c>
      <c r="D226" s="23" t="s">
        <v>538</v>
      </c>
      <c r="E226" s="73"/>
      <c r="F226" s="74" t="s">
        <v>296</v>
      </c>
      <c r="G226" s="24" t="s">
        <v>281</v>
      </c>
      <c r="H226" s="18">
        <v>2023</v>
      </c>
      <c r="I226" s="71"/>
      <c r="J226" s="78"/>
      <c r="K226" s="71"/>
      <c r="L226" s="16">
        <v>25</v>
      </c>
      <c r="M226" s="16">
        <v>10</v>
      </c>
      <c r="N226" s="16">
        <v>0</v>
      </c>
      <c r="O226" s="16">
        <v>15</v>
      </c>
      <c r="P226" s="20">
        <f>L226+M226+N226+O226</f>
        <v>50</v>
      </c>
      <c r="Q226" s="23" t="str">
        <f>IF(P226&gt;=80,"✅ High Quality",IF(P226&gt;=60,"🟡 Acceptable",IF(P226&gt;=40,"⚠️ Use with Caution","🔴 Insufficient")))</f>
        <v>⚠️ Use with Caution</v>
      </c>
      <c r="R226" s="82"/>
    </row>
    <row r="227" spans="1:18" ht="46" hidden="1" customHeight="1" x14ac:dyDescent="0.2">
      <c r="A227" s="13"/>
      <c r="B227" s="13" t="s">
        <v>279</v>
      </c>
      <c r="C227" s="22" t="s">
        <v>280</v>
      </c>
      <c r="D227" s="23" t="s">
        <v>538</v>
      </c>
      <c r="E227" s="73"/>
      <c r="F227" s="74" t="s">
        <v>296</v>
      </c>
      <c r="G227" s="24" t="s">
        <v>281</v>
      </c>
      <c r="H227" s="18">
        <v>2022</v>
      </c>
      <c r="I227" s="71"/>
      <c r="J227" s="78"/>
      <c r="K227" s="71"/>
      <c r="L227" s="16">
        <v>25</v>
      </c>
      <c r="M227" s="16">
        <v>10</v>
      </c>
      <c r="N227" s="16">
        <v>0</v>
      </c>
      <c r="O227" s="16">
        <v>15</v>
      </c>
      <c r="P227" s="20">
        <f>L227+M227+N227+O227</f>
        <v>50</v>
      </c>
      <c r="Q227" s="23" t="str">
        <f>IF(P227&gt;=80,"✅ High Quality",IF(P227&gt;=60,"🟡 Acceptable",IF(P227&gt;=40,"⚠️ Use with Caution","🔴 Insufficient")))</f>
        <v>⚠️ Use with Caution</v>
      </c>
      <c r="R227" s="82"/>
    </row>
    <row r="228" spans="1:18" ht="46" hidden="1" customHeight="1" x14ac:dyDescent="0.2">
      <c r="A228" s="13"/>
      <c r="B228" s="13" t="s">
        <v>279</v>
      </c>
      <c r="C228" s="22" t="s">
        <v>280</v>
      </c>
      <c r="D228" s="23" t="s">
        <v>538</v>
      </c>
      <c r="E228" s="73"/>
      <c r="F228" s="74" t="s">
        <v>296</v>
      </c>
      <c r="G228" s="24" t="s">
        <v>281</v>
      </c>
      <c r="H228" s="18">
        <v>2021</v>
      </c>
      <c r="I228" s="71"/>
      <c r="J228" s="78"/>
      <c r="K228" s="71"/>
      <c r="L228" s="16">
        <v>25</v>
      </c>
      <c r="M228" s="16">
        <v>10</v>
      </c>
      <c r="N228" s="16">
        <v>0</v>
      </c>
      <c r="O228" s="16">
        <v>15</v>
      </c>
      <c r="P228" s="20">
        <f>L228+M228+N228+O228</f>
        <v>50</v>
      </c>
      <c r="Q228" s="23" t="str">
        <f>IF(P228&gt;=80,"✅ High Quality",IF(P228&gt;=60,"🟡 Acceptable",IF(P228&gt;=40,"⚠️ Use with Caution","🔴 Insufficient")))</f>
        <v>⚠️ Use with Caution</v>
      </c>
      <c r="R228" s="82"/>
    </row>
    <row r="229" spans="1:18" ht="26" hidden="1" x14ac:dyDescent="0.2">
      <c r="A229" s="13"/>
      <c r="B229" s="13" t="s">
        <v>279</v>
      </c>
      <c r="C229" s="22" t="s">
        <v>280</v>
      </c>
      <c r="D229" s="23" t="s">
        <v>538</v>
      </c>
      <c r="E229" s="73"/>
      <c r="F229" s="74" t="s">
        <v>296</v>
      </c>
      <c r="G229" s="24" t="s">
        <v>281</v>
      </c>
      <c r="H229" s="18">
        <v>2020</v>
      </c>
      <c r="I229" s="71"/>
      <c r="J229" s="78"/>
      <c r="K229" s="71"/>
      <c r="L229" s="16">
        <v>25</v>
      </c>
      <c r="M229" s="16">
        <v>10</v>
      </c>
      <c r="N229" s="16">
        <v>0</v>
      </c>
      <c r="O229" s="16">
        <v>15</v>
      </c>
      <c r="P229" s="20">
        <f>L229+M229+N229+O229</f>
        <v>50</v>
      </c>
      <c r="Q229" s="23" t="str">
        <f>IF(P229&gt;=80,"✅ High Quality",IF(P229&gt;=60,"🟡 Acceptable",IF(P229&gt;=40,"⚠️ Use with Caution","🔴 Insufficient")))</f>
        <v>⚠️ Use with Caution</v>
      </c>
      <c r="R229" s="82"/>
    </row>
    <row r="230" spans="1:18" ht="26" hidden="1" x14ac:dyDescent="0.2">
      <c r="A230" s="13"/>
      <c r="B230" s="13" t="s">
        <v>279</v>
      </c>
      <c r="C230" s="22" t="s">
        <v>280</v>
      </c>
      <c r="D230" s="23" t="s">
        <v>538</v>
      </c>
      <c r="E230" s="73"/>
      <c r="F230" s="74" t="s">
        <v>296</v>
      </c>
      <c r="G230" s="24" t="s">
        <v>281</v>
      </c>
      <c r="H230" s="18">
        <v>2019</v>
      </c>
      <c r="I230" s="71"/>
      <c r="J230" s="78"/>
      <c r="K230" s="71"/>
      <c r="L230" s="16">
        <v>25</v>
      </c>
      <c r="M230" s="16">
        <v>10</v>
      </c>
      <c r="N230" s="16">
        <v>0</v>
      </c>
      <c r="O230" s="16">
        <v>15</v>
      </c>
      <c r="P230" s="20">
        <f>L230+M230+N230+O230</f>
        <v>50</v>
      </c>
      <c r="Q230" s="23" t="str">
        <f>IF(P230&gt;=80,"✅ High Quality",IF(P230&gt;=60,"🟡 Acceptable",IF(P230&gt;=40,"⚠️ Use with Caution","🔴 Insufficient")))</f>
        <v>⚠️ Use with Caution</v>
      </c>
      <c r="R230" s="82"/>
    </row>
    <row r="231" spans="1:18" ht="26" hidden="1" x14ac:dyDescent="0.2">
      <c r="A231" s="13"/>
      <c r="B231" s="13" t="s">
        <v>279</v>
      </c>
      <c r="C231" s="22" t="s">
        <v>280</v>
      </c>
      <c r="D231" s="23" t="s">
        <v>283</v>
      </c>
      <c r="E231" s="73"/>
      <c r="F231" s="74" t="s">
        <v>526</v>
      </c>
      <c r="G231" s="24" t="s">
        <v>281</v>
      </c>
      <c r="H231" s="18">
        <v>2024</v>
      </c>
      <c r="I231" s="71"/>
      <c r="J231" s="78"/>
      <c r="K231" s="71"/>
      <c r="L231" s="16">
        <v>25</v>
      </c>
      <c r="M231" s="16">
        <v>10</v>
      </c>
      <c r="N231" s="16">
        <v>0</v>
      </c>
      <c r="O231" s="16">
        <v>15</v>
      </c>
      <c r="P231" s="20">
        <f>L231+M231+N231+O231</f>
        <v>50</v>
      </c>
      <c r="Q231" s="23" t="str">
        <f>IF(P231&gt;=80,"✅ High Quality",IF(P231&gt;=60,"🟡 Acceptable",IF(P231&gt;=40,"⚠️ Use with Caution","🔴 Insufficient")))</f>
        <v>⚠️ Use with Caution</v>
      </c>
      <c r="R231" s="82"/>
    </row>
    <row r="232" spans="1:18" ht="26" hidden="1" x14ac:dyDescent="0.2">
      <c r="A232" s="13"/>
      <c r="B232" s="13" t="s">
        <v>279</v>
      </c>
      <c r="C232" s="22" t="s">
        <v>280</v>
      </c>
      <c r="D232" s="23" t="s">
        <v>283</v>
      </c>
      <c r="E232" s="73"/>
      <c r="F232" s="74" t="s">
        <v>296</v>
      </c>
      <c r="G232" s="24" t="s">
        <v>281</v>
      </c>
      <c r="H232" s="18">
        <v>2024</v>
      </c>
      <c r="I232" s="71"/>
      <c r="J232" s="78"/>
      <c r="K232" s="71"/>
      <c r="L232" s="16">
        <v>25</v>
      </c>
      <c r="M232" s="16">
        <v>10</v>
      </c>
      <c r="N232" s="16">
        <v>0</v>
      </c>
      <c r="O232" s="16">
        <v>15</v>
      </c>
      <c r="P232" s="20">
        <f>L232+M232+N232+O232</f>
        <v>50</v>
      </c>
      <c r="Q232" s="23" t="str">
        <f>IF(P232&gt;=80,"✅ High Quality",IF(P232&gt;=60,"🟡 Acceptable",IF(P232&gt;=40,"⚠️ Use with Caution","🔴 Insufficient")))</f>
        <v>⚠️ Use with Caution</v>
      </c>
      <c r="R232" s="82"/>
    </row>
    <row r="233" spans="1:18" ht="26" hidden="1" x14ac:dyDescent="0.2">
      <c r="A233" s="13"/>
      <c r="B233" s="13" t="s">
        <v>279</v>
      </c>
      <c r="C233" s="22" t="s">
        <v>280</v>
      </c>
      <c r="D233" s="23" t="s">
        <v>283</v>
      </c>
      <c r="E233" s="73"/>
      <c r="F233" s="74" t="s">
        <v>296</v>
      </c>
      <c r="G233" s="24" t="s">
        <v>281</v>
      </c>
      <c r="H233" s="18">
        <v>2023</v>
      </c>
      <c r="I233" s="71"/>
      <c r="J233" s="78"/>
      <c r="K233" s="71"/>
      <c r="L233" s="16">
        <v>25</v>
      </c>
      <c r="M233" s="16">
        <v>10</v>
      </c>
      <c r="N233" s="16">
        <v>0</v>
      </c>
      <c r="O233" s="16">
        <v>15</v>
      </c>
      <c r="P233" s="20">
        <f>L233+M233+N233+O233</f>
        <v>50</v>
      </c>
      <c r="Q233" s="23" t="str">
        <f>IF(P233&gt;=80,"✅ High Quality",IF(P233&gt;=60,"🟡 Acceptable",IF(P233&gt;=40,"⚠️ Use with Caution","🔴 Insufficient")))</f>
        <v>⚠️ Use with Caution</v>
      </c>
      <c r="R233" s="82"/>
    </row>
    <row r="234" spans="1:18" ht="26" hidden="1" x14ac:dyDescent="0.2">
      <c r="A234" s="13"/>
      <c r="B234" s="13" t="s">
        <v>279</v>
      </c>
      <c r="C234" s="22" t="s">
        <v>280</v>
      </c>
      <c r="D234" s="23" t="s">
        <v>283</v>
      </c>
      <c r="E234" s="73"/>
      <c r="F234" s="74" t="s">
        <v>526</v>
      </c>
      <c r="G234" s="24" t="s">
        <v>281</v>
      </c>
      <c r="H234" s="18">
        <v>2022</v>
      </c>
      <c r="I234" s="71"/>
      <c r="J234" s="78"/>
      <c r="K234" s="71"/>
      <c r="L234" s="16">
        <v>25</v>
      </c>
      <c r="M234" s="16">
        <v>10</v>
      </c>
      <c r="N234" s="16">
        <v>0</v>
      </c>
      <c r="O234" s="16">
        <v>15</v>
      </c>
      <c r="P234" s="20">
        <f>L234+M234+N234+O234</f>
        <v>50</v>
      </c>
      <c r="Q234" s="23" t="str">
        <f>IF(P234&gt;=80,"✅ High Quality",IF(P234&gt;=60,"🟡 Acceptable",IF(P234&gt;=40,"⚠️ Use with Caution","🔴 Insufficient")))</f>
        <v>⚠️ Use with Caution</v>
      </c>
      <c r="R234" s="82"/>
    </row>
    <row r="235" spans="1:18" ht="26" hidden="1" x14ac:dyDescent="0.2">
      <c r="A235" s="13"/>
      <c r="B235" s="13" t="s">
        <v>279</v>
      </c>
      <c r="C235" s="22" t="s">
        <v>280</v>
      </c>
      <c r="D235" s="23" t="s">
        <v>283</v>
      </c>
      <c r="E235" s="73"/>
      <c r="F235" s="74" t="s">
        <v>296</v>
      </c>
      <c r="G235" s="24" t="s">
        <v>281</v>
      </c>
      <c r="H235" s="18">
        <v>2022</v>
      </c>
      <c r="I235" s="71"/>
      <c r="J235" s="78"/>
      <c r="K235" s="71"/>
      <c r="L235" s="16">
        <v>25</v>
      </c>
      <c r="M235" s="16">
        <v>10</v>
      </c>
      <c r="N235" s="16">
        <v>0</v>
      </c>
      <c r="O235" s="16">
        <v>15</v>
      </c>
      <c r="P235" s="20">
        <f>L235+M235+N235+O235</f>
        <v>50</v>
      </c>
      <c r="Q235" s="23" t="str">
        <f>IF(P235&gt;=80,"✅ High Quality",IF(P235&gt;=60,"🟡 Acceptable",IF(P235&gt;=40,"⚠️ Use with Caution","🔴 Insufficient")))</f>
        <v>⚠️ Use with Caution</v>
      </c>
      <c r="R235" s="82"/>
    </row>
    <row r="236" spans="1:18" ht="26" hidden="1" x14ac:dyDescent="0.2">
      <c r="A236" s="13"/>
      <c r="B236" s="13" t="s">
        <v>279</v>
      </c>
      <c r="C236" s="22" t="s">
        <v>280</v>
      </c>
      <c r="D236" s="23" t="s">
        <v>283</v>
      </c>
      <c r="E236" s="73"/>
      <c r="F236" s="74" t="s">
        <v>526</v>
      </c>
      <c r="G236" s="24" t="s">
        <v>281</v>
      </c>
      <c r="H236" s="18">
        <v>2021</v>
      </c>
      <c r="I236" s="71"/>
      <c r="J236" s="78"/>
      <c r="K236" s="71"/>
      <c r="L236" s="16">
        <v>25</v>
      </c>
      <c r="M236" s="16">
        <v>10</v>
      </c>
      <c r="N236" s="16">
        <v>0</v>
      </c>
      <c r="O236" s="16">
        <v>15</v>
      </c>
      <c r="P236" s="20">
        <f>L236+M236+N236+O236</f>
        <v>50</v>
      </c>
      <c r="Q236" s="23" t="str">
        <f>IF(P236&gt;=80,"✅ High Quality",IF(P236&gt;=60,"🟡 Acceptable",IF(P236&gt;=40,"⚠️ Use with Caution","🔴 Insufficient")))</f>
        <v>⚠️ Use with Caution</v>
      </c>
      <c r="R236" s="82"/>
    </row>
    <row r="237" spans="1:18" ht="26" hidden="1" x14ac:dyDescent="0.2">
      <c r="A237" s="13"/>
      <c r="B237" s="13" t="s">
        <v>279</v>
      </c>
      <c r="C237" s="22" t="s">
        <v>280</v>
      </c>
      <c r="D237" s="23" t="s">
        <v>283</v>
      </c>
      <c r="E237" s="73"/>
      <c r="F237" s="74" t="s">
        <v>296</v>
      </c>
      <c r="G237" s="24" t="s">
        <v>281</v>
      </c>
      <c r="H237" s="18">
        <v>2021</v>
      </c>
      <c r="I237" s="71"/>
      <c r="J237" s="78"/>
      <c r="K237" s="71"/>
      <c r="L237" s="16">
        <v>25</v>
      </c>
      <c r="M237" s="16">
        <v>10</v>
      </c>
      <c r="N237" s="16">
        <v>0</v>
      </c>
      <c r="O237" s="16">
        <v>15</v>
      </c>
      <c r="P237" s="20">
        <f>L237+M237+N237+O237</f>
        <v>50</v>
      </c>
      <c r="Q237" s="23" t="str">
        <f>IF(P237&gt;=80,"✅ High Quality",IF(P237&gt;=60,"🟡 Acceptable",IF(P237&gt;=40,"⚠️ Use with Caution","🔴 Insufficient")))</f>
        <v>⚠️ Use with Caution</v>
      </c>
      <c r="R237" s="82"/>
    </row>
    <row r="238" spans="1:18" ht="26" hidden="1" x14ac:dyDescent="0.2">
      <c r="A238" s="13"/>
      <c r="B238" s="13" t="s">
        <v>279</v>
      </c>
      <c r="C238" s="22" t="s">
        <v>280</v>
      </c>
      <c r="D238" s="23" t="s">
        <v>283</v>
      </c>
      <c r="E238" s="73"/>
      <c r="F238" s="74" t="s">
        <v>526</v>
      </c>
      <c r="G238" s="24" t="s">
        <v>281</v>
      </c>
      <c r="H238" s="18">
        <v>2020</v>
      </c>
      <c r="I238" s="71"/>
      <c r="J238" s="78"/>
      <c r="K238" s="71"/>
      <c r="L238" s="16">
        <v>25</v>
      </c>
      <c r="M238" s="16">
        <v>10</v>
      </c>
      <c r="N238" s="16">
        <v>0</v>
      </c>
      <c r="O238" s="16">
        <v>15</v>
      </c>
      <c r="P238" s="20">
        <f>L238+M238+N238+O238</f>
        <v>50</v>
      </c>
      <c r="Q238" s="23" t="str">
        <f>IF(P238&gt;=80,"✅ High Quality",IF(P238&gt;=60,"🟡 Acceptable",IF(P238&gt;=40,"⚠️ Use with Caution","🔴 Insufficient")))</f>
        <v>⚠️ Use with Caution</v>
      </c>
      <c r="R238" s="82"/>
    </row>
    <row r="239" spans="1:18" ht="26" hidden="1" x14ac:dyDescent="0.2">
      <c r="A239" s="13"/>
      <c r="B239" s="13" t="s">
        <v>279</v>
      </c>
      <c r="C239" s="22" t="s">
        <v>280</v>
      </c>
      <c r="D239" s="23" t="s">
        <v>283</v>
      </c>
      <c r="E239" s="73"/>
      <c r="F239" s="74" t="s">
        <v>296</v>
      </c>
      <c r="G239" s="24" t="s">
        <v>281</v>
      </c>
      <c r="H239" s="18">
        <v>2020</v>
      </c>
      <c r="I239" s="71"/>
      <c r="J239" s="78"/>
      <c r="K239" s="71"/>
      <c r="L239" s="16">
        <v>25</v>
      </c>
      <c r="M239" s="16">
        <v>10</v>
      </c>
      <c r="N239" s="16">
        <v>0</v>
      </c>
      <c r="O239" s="16">
        <v>15</v>
      </c>
      <c r="P239" s="20">
        <f>L239+M239+N239+O239</f>
        <v>50</v>
      </c>
      <c r="Q239" s="23" t="str">
        <f>IF(P239&gt;=80,"✅ High Quality",IF(P239&gt;=60,"🟡 Acceptable",IF(P239&gt;=40,"⚠️ Use with Caution","🔴 Insufficient")))</f>
        <v>⚠️ Use with Caution</v>
      </c>
      <c r="R239" s="82"/>
    </row>
    <row r="240" spans="1:18" ht="26" hidden="1" x14ac:dyDescent="0.2">
      <c r="A240" s="13"/>
      <c r="B240" s="13" t="s">
        <v>279</v>
      </c>
      <c r="C240" s="22" t="s">
        <v>280</v>
      </c>
      <c r="D240" s="23" t="s">
        <v>283</v>
      </c>
      <c r="E240" s="73"/>
      <c r="F240" s="74" t="s">
        <v>296</v>
      </c>
      <c r="G240" s="24" t="s">
        <v>281</v>
      </c>
      <c r="H240" s="18">
        <v>2019</v>
      </c>
      <c r="I240" s="71"/>
      <c r="J240" s="78"/>
      <c r="K240" s="71"/>
      <c r="L240" s="16">
        <v>25</v>
      </c>
      <c r="M240" s="16">
        <v>10</v>
      </c>
      <c r="N240" s="16">
        <v>0</v>
      </c>
      <c r="O240" s="16">
        <v>15</v>
      </c>
      <c r="P240" s="20">
        <f>L240+M240+N240+O240</f>
        <v>50</v>
      </c>
      <c r="Q240" s="23" t="str">
        <f>IF(P240&gt;=80,"✅ High Quality",IF(P240&gt;=60,"🟡 Acceptable",IF(P240&gt;=40,"⚠️ Use with Caution","🔴 Insufficient")))</f>
        <v>⚠️ Use with Caution</v>
      </c>
      <c r="R240" s="82"/>
    </row>
  </sheetData>
  <autoFilter ref="A3:R240" xr:uid="{00000000-0001-0000-0200-000000000000}">
    <filterColumn colId="4">
      <customFilters>
        <customFilter operator="notEqual" val=" "/>
      </customFilters>
    </filterColumn>
    <sortState xmlns:xlrd2="http://schemas.microsoft.com/office/spreadsheetml/2017/richdata2" ref="A4:R240">
      <sortCondition ref="E3:E240"/>
    </sortState>
  </autoFilter>
  <mergeCells count="1">
    <mergeCell ref="A1:R1"/>
  </mergeCells>
  <conditionalFormatting sqref="P4:P240">
    <cfRule type="colorScale" priority="3">
      <colorScale>
        <cfvo type="num" val="0"/>
        <cfvo type="num" val="60"/>
        <cfvo type="num" val="100"/>
        <color rgb="FFFFAAAA"/>
        <color rgb="FFFFFF99"/>
        <color rgb="FF90EE90"/>
      </colorScale>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63A1-5BAB-B847-A128-3477F1641FA2}">
  <sheetPr filterMode="1">
    <tabColor rgb="FF2E7D4F"/>
  </sheetPr>
  <dimension ref="A1:R83"/>
  <sheetViews>
    <sheetView showGridLines="0" zoomScale="115" workbookViewId="0">
      <selection activeCell="B4" sqref="B4:H83"/>
    </sheetView>
  </sheetViews>
  <sheetFormatPr baseColWidth="10" defaultColWidth="8.6640625" defaultRowHeight="15" x14ac:dyDescent="0.2"/>
  <cols>
    <col min="1" max="1" width="4" customWidth="1"/>
    <col min="2" max="2" width="12" customWidth="1"/>
    <col min="3" max="3" width="18" customWidth="1"/>
    <col min="4" max="4" width="35.6640625" customWidth="1"/>
    <col min="5" max="5" width="14" customWidth="1"/>
    <col min="6" max="6" width="7.6640625" bestFit="1" customWidth="1"/>
    <col min="7" max="7" width="13.5" bestFit="1" customWidth="1"/>
    <col min="8" max="8" width="8.5" bestFit="1" customWidth="1"/>
    <col min="9" max="9" width="20.1640625" customWidth="1"/>
    <col min="10" max="10" width="32.1640625" bestFit="1" customWidth="1"/>
    <col min="11" max="11" width="21.1640625" customWidth="1"/>
    <col min="12" max="16" width="12" customWidth="1"/>
    <col min="17" max="17" width="14" customWidth="1"/>
    <col min="18" max="18" width="28" customWidth="1"/>
  </cols>
  <sheetData>
    <row r="1" spans="1:18" ht="36" customHeight="1" x14ac:dyDescent="0.2">
      <c r="A1" s="101" t="s">
        <v>255</v>
      </c>
      <c r="B1" s="102"/>
      <c r="C1" s="102"/>
      <c r="D1" s="102"/>
      <c r="E1" s="102"/>
      <c r="F1" s="102"/>
      <c r="G1" s="102"/>
      <c r="H1" s="102"/>
      <c r="I1" s="102"/>
      <c r="J1" s="102"/>
      <c r="K1" s="102"/>
      <c r="L1" s="102"/>
      <c r="M1" s="102"/>
      <c r="N1" s="102"/>
      <c r="O1" s="102"/>
      <c r="P1" s="102"/>
      <c r="Q1" s="102"/>
      <c r="R1" s="102"/>
    </row>
    <row r="2" spans="1:18" ht="44" customHeight="1" x14ac:dyDescent="0.2">
      <c r="A2" s="64" t="s">
        <v>256</v>
      </c>
      <c r="B2" s="64"/>
      <c r="C2" s="64"/>
      <c r="D2" s="70" t="s">
        <v>257</v>
      </c>
      <c r="E2" s="64" t="s">
        <v>258</v>
      </c>
      <c r="F2" s="64"/>
      <c r="G2" s="64"/>
      <c r="H2" s="64"/>
      <c r="I2" s="64"/>
      <c r="J2" s="64"/>
      <c r="K2" s="64"/>
      <c r="L2" s="12" t="s">
        <v>259</v>
      </c>
      <c r="M2" s="12" t="s">
        <v>260</v>
      </c>
      <c r="N2" s="12" t="s">
        <v>261</v>
      </c>
      <c r="O2" s="12" t="s">
        <v>262</v>
      </c>
      <c r="P2" s="12" t="s">
        <v>263</v>
      </c>
      <c r="Q2" s="12" t="s">
        <v>264</v>
      </c>
      <c r="R2" s="12"/>
    </row>
    <row r="3" spans="1:18" ht="39.75" customHeight="1" x14ac:dyDescent="0.2">
      <c r="A3" s="11" t="s">
        <v>45</v>
      </c>
      <c r="B3" s="11" t="s">
        <v>265</v>
      </c>
      <c r="C3" s="11" t="s">
        <v>266</v>
      </c>
      <c r="D3" s="11" t="s">
        <v>46</v>
      </c>
      <c r="E3" s="11" t="s">
        <v>267</v>
      </c>
      <c r="F3" s="11" t="s">
        <v>527</v>
      </c>
      <c r="G3" s="11" t="s">
        <v>49</v>
      </c>
      <c r="H3" s="11" t="s">
        <v>268</v>
      </c>
      <c r="I3" s="11" t="s">
        <v>269</v>
      </c>
      <c r="J3" s="11" t="s">
        <v>270</v>
      </c>
      <c r="K3" s="11" t="s">
        <v>271</v>
      </c>
      <c r="L3" s="11" t="s">
        <v>272</v>
      </c>
      <c r="M3" s="11" t="s">
        <v>273</v>
      </c>
      <c r="N3" s="11" t="s">
        <v>274</v>
      </c>
      <c r="O3" s="11" t="s">
        <v>275</v>
      </c>
      <c r="P3" s="11" t="s">
        <v>276</v>
      </c>
      <c r="Q3" s="11" t="s">
        <v>277</v>
      </c>
      <c r="R3" s="11" t="s">
        <v>278</v>
      </c>
    </row>
    <row r="4" spans="1:18" ht="21.75" customHeight="1" x14ac:dyDescent="0.2">
      <c r="A4" s="25"/>
      <c r="B4" s="25" t="s">
        <v>296</v>
      </c>
      <c r="C4" s="14" t="s">
        <v>304</v>
      </c>
      <c r="D4" s="15" t="s">
        <v>183</v>
      </c>
      <c r="E4" s="93">
        <v>14</v>
      </c>
      <c r="F4" s="84" t="s">
        <v>526</v>
      </c>
      <c r="G4" s="24" t="s">
        <v>305</v>
      </c>
      <c r="H4" s="18">
        <v>2024</v>
      </c>
      <c r="I4" s="19" t="s">
        <v>282</v>
      </c>
      <c r="J4" s="19" t="s">
        <v>564</v>
      </c>
      <c r="K4" s="89"/>
      <c r="L4" s="84">
        <v>25</v>
      </c>
      <c r="M4" s="84">
        <v>15</v>
      </c>
      <c r="N4" s="84">
        <f>_xlfn.XLOOKUP(H4,'E Data_Inventory'!$H$3:$H$240,'E Data_Inventory'!N$3:N$240)</f>
        <v>25</v>
      </c>
      <c r="O4" s="84">
        <v>20</v>
      </c>
      <c r="P4" s="20">
        <f t="shared" ref="P4:P27" si="0">L4+M4+N4+O4</f>
        <v>85</v>
      </c>
      <c r="Q4" s="15" t="str">
        <f t="shared" ref="Q4:Q27" si="1">IF(P4&gt;=80,"✅ High Quality",IF(P4&gt;=60,"🟡 Acceptable",IF(P4&gt;=40,"⚠️ Use with Caution","🔴 Insufficient")))</f>
        <v>✅ High Quality</v>
      </c>
      <c r="R4" s="21"/>
    </row>
    <row r="5" spans="1:18" ht="21.75" customHeight="1" x14ac:dyDescent="0.2">
      <c r="A5" s="25"/>
      <c r="B5" s="25" t="s">
        <v>296</v>
      </c>
      <c r="C5" s="14" t="s">
        <v>304</v>
      </c>
      <c r="D5" s="90" t="s">
        <v>183</v>
      </c>
      <c r="E5" s="91">
        <v>22</v>
      </c>
      <c r="F5" s="84" t="s">
        <v>296</v>
      </c>
      <c r="G5" s="24" t="s">
        <v>305</v>
      </c>
      <c r="H5" s="18">
        <v>2019</v>
      </c>
      <c r="I5" s="19" t="s">
        <v>282</v>
      </c>
      <c r="J5" s="19" t="s">
        <v>567</v>
      </c>
      <c r="K5" s="89"/>
      <c r="L5" s="84">
        <v>25</v>
      </c>
      <c r="M5" s="84">
        <v>15</v>
      </c>
      <c r="N5" s="84">
        <f>_xlfn.XLOOKUP(H5,'E Data_Inventory'!$H$3:$H$240,'E Data_Inventory'!N$3:N$240)</f>
        <v>5</v>
      </c>
      <c r="O5" s="84">
        <v>20</v>
      </c>
      <c r="P5" s="20">
        <f>L5+M5+N5+O5</f>
        <v>65</v>
      </c>
      <c r="Q5" s="35" t="str">
        <f>IF(P5&gt;=80,"✅ High Quality",IF(P5&gt;=60,"🟡 Acceptable",IF(P5&gt;=40,"⚠️ Use with Caution","🔴 Insufficient")))</f>
        <v>🟡 Acceptable</v>
      </c>
      <c r="R5" s="21"/>
    </row>
    <row r="6" spans="1:18" ht="21.75" customHeight="1" x14ac:dyDescent="0.2">
      <c r="A6" s="25"/>
      <c r="B6" s="25" t="s">
        <v>296</v>
      </c>
      <c r="C6" s="14" t="s">
        <v>304</v>
      </c>
      <c r="D6" s="90" t="s">
        <v>183</v>
      </c>
      <c r="E6" s="93">
        <v>11</v>
      </c>
      <c r="F6" s="84" t="s">
        <v>526</v>
      </c>
      <c r="G6" s="24" t="s">
        <v>305</v>
      </c>
      <c r="H6" s="18">
        <v>2023</v>
      </c>
      <c r="I6" s="19" t="s">
        <v>282</v>
      </c>
      <c r="J6" s="19" t="s">
        <v>565</v>
      </c>
      <c r="K6" s="89"/>
      <c r="L6" s="84">
        <v>25</v>
      </c>
      <c r="M6" s="84">
        <v>15</v>
      </c>
      <c r="N6" s="84">
        <f>_xlfn.XLOOKUP(H6,'E Data_Inventory'!$H$3:$H$240,'E Data_Inventory'!N$3:N$240)</f>
        <v>25</v>
      </c>
      <c r="O6" s="84">
        <v>20</v>
      </c>
      <c r="P6" s="20">
        <f>L6+M6+N6+O6</f>
        <v>85</v>
      </c>
      <c r="Q6" s="35" t="str">
        <f>IF(P6&gt;=80,"✅ High Quality",IF(P6&gt;=60,"🟡 Acceptable",IF(P6&gt;=40,"⚠️ Use with Caution","🔴 Insufficient")))</f>
        <v>✅ High Quality</v>
      </c>
      <c r="R6" s="21"/>
    </row>
    <row r="7" spans="1:18" ht="21.75" customHeight="1" x14ac:dyDescent="0.2">
      <c r="A7" s="25"/>
      <c r="B7" s="25" t="s">
        <v>296</v>
      </c>
      <c r="C7" s="14" t="s">
        <v>297</v>
      </c>
      <c r="D7" s="15" t="s">
        <v>142</v>
      </c>
      <c r="E7" s="93">
        <v>46237</v>
      </c>
      <c r="F7" s="84" t="s">
        <v>296</v>
      </c>
      <c r="G7" s="24" t="s">
        <v>298</v>
      </c>
      <c r="H7" s="18">
        <v>2019</v>
      </c>
      <c r="I7" s="19" t="s">
        <v>282</v>
      </c>
      <c r="J7" s="19" t="s">
        <v>566</v>
      </c>
      <c r="K7" s="89"/>
      <c r="L7" s="84">
        <v>25</v>
      </c>
      <c r="M7" s="84">
        <v>15</v>
      </c>
      <c r="N7" s="84">
        <f>_xlfn.XLOOKUP(H7,'E Data_Inventory'!$H$3:$H$240,'E Data_Inventory'!N$3:N$240)</f>
        <v>5</v>
      </c>
      <c r="O7" s="84">
        <v>20</v>
      </c>
      <c r="P7" s="20">
        <f>L7+M7+N7+O7</f>
        <v>65</v>
      </c>
      <c r="Q7" s="15" t="str">
        <f>IF(P7&gt;=80,"✅ High Quality",IF(P7&gt;=60,"🟡 Acceptable",IF(P7&gt;=40,"⚠️ Use with Caution","🔴 Insufficient")))</f>
        <v>🟡 Acceptable</v>
      </c>
      <c r="R7" s="21"/>
    </row>
    <row r="8" spans="1:18" ht="21.75" customHeight="1" x14ac:dyDescent="0.2">
      <c r="A8" s="25"/>
      <c r="B8" s="25" t="s">
        <v>296</v>
      </c>
      <c r="C8" s="14" t="s">
        <v>304</v>
      </c>
      <c r="D8" s="15" t="s">
        <v>183</v>
      </c>
      <c r="E8" s="93">
        <v>8</v>
      </c>
      <c r="F8" s="84" t="s">
        <v>526</v>
      </c>
      <c r="G8" s="24" t="s">
        <v>305</v>
      </c>
      <c r="H8" s="18">
        <v>2022</v>
      </c>
      <c r="I8" s="19" t="s">
        <v>282</v>
      </c>
      <c r="J8" s="19" t="s">
        <v>564</v>
      </c>
      <c r="K8" s="89"/>
      <c r="L8" s="84">
        <v>25</v>
      </c>
      <c r="M8" s="84">
        <v>15</v>
      </c>
      <c r="N8" s="84">
        <f>_xlfn.XLOOKUP(H8,'E Data_Inventory'!$H$3:$H$240,'E Data_Inventory'!N$3:N$240)</f>
        <v>20</v>
      </c>
      <c r="O8" s="84">
        <v>20</v>
      </c>
      <c r="P8" s="20">
        <f>L8+M8+N8+O8</f>
        <v>80</v>
      </c>
      <c r="Q8" s="15" t="str">
        <f>IF(P8&gt;=80,"✅ High Quality",IF(P8&gt;=60,"🟡 Acceptable",IF(P8&gt;=40,"⚠️ Use with Caution","🔴 Insufficient")))</f>
        <v>✅ High Quality</v>
      </c>
      <c r="R8" s="21"/>
    </row>
    <row r="9" spans="1:18" ht="21.75" customHeight="1" x14ac:dyDescent="0.2">
      <c r="A9" s="25"/>
      <c r="B9" s="25" t="s">
        <v>296</v>
      </c>
      <c r="C9" s="14" t="s">
        <v>302</v>
      </c>
      <c r="D9" s="15" t="s">
        <v>169</v>
      </c>
      <c r="E9" s="91">
        <v>0.84</v>
      </c>
      <c r="F9" s="84" t="s">
        <v>296</v>
      </c>
      <c r="G9" s="24" t="s">
        <v>303</v>
      </c>
      <c r="H9" s="18">
        <v>2019</v>
      </c>
      <c r="I9" s="19" t="s">
        <v>282</v>
      </c>
      <c r="J9" s="19" t="s">
        <v>564</v>
      </c>
      <c r="K9" s="89"/>
      <c r="L9" s="84">
        <v>25</v>
      </c>
      <c r="M9" s="84">
        <v>15</v>
      </c>
      <c r="N9" s="84">
        <f>_xlfn.XLOOKUP(H9,'E Data_Inventory'!$H$3:$H$240,'E Data_Inventory'!N$3:N$240)</f>
        <v>5</v>
      </c>
      <c r="O9" s="84">
        <v>20</v>
      </c>
      <c r="P9" s="20">
        <f>L9+M9+N9+O9</f>
        <v>65</v>
      </c>
      <c r="Q9" s="15" t="str">
        <f>IF(P9&gt;=80,"✅ High Quality",IF(P9&gt;=60,"🟡 Acceptable",IF(P9&gt;=40,"⚠️ Use with Caution","🔴 Insufficient")))</f>
        <v>🟡 Acceptable</v>
      </c>
      <c r="R9" s="21"/>
    </row>
    <row r="10" spans="1:18" ht="21.75" customHeight="1" x14ac:dyDescent="0.2">
      <c r="A10" s="25"/>
      <c r="B10" s="25" t="s">
        <v>296</v>
      </c>
      <c r="C10" s="14" t="s">
        <v>304</v>
      </c>
      <c r="D10" s="90" t="s">
        <v>183</v>
      </c>
      <c r="E10" s="93">
        <v>11</v>
      </c>
      <c r="F10" s="84" t="s">
        <v>526</v>
      </c>
      <c r="G10" s="24" t="s">
        <v>305</v>
      </c>
      <c r="H10" s="18">
        <v>2021</v>
      </c>
      <c r="I10" s="19" t="s">
        <v>282</v>
      </c>
      <c r="J10" s="19" t="s">
        <v>564</v>
      </c>
      <c r="K10" s="89"/>
      <c r="L10" s="84">
        <v>25</v>
      </c>
      <c r="M10" s="84">
        <v>15</v>
      </c>
      <c r="N10" s="84">
        <f>_xlfn.XLOOKUP(H10,'E Data_Inventory'!$H$3:$H$240,'E Data_Inventory'!N$3:N$240)</f>
        <v>5</v>
      </c>
      <c r="O10" s="84">
        <v>20</v>
      </c>
      <c r="P10" s="20">
        <f>L10+M10+N10+O10</f>
        <v>65</v>
      </c>
      <c r="Q10" s="35" t="str">
        <f>IF(P10&gt;=80,"✅ High Quality",IF(P10&gt;=60,"🟡 Acceptable",IF(P10&gt;=40,"⚠️ Use with Caution","🔴 Insufficient")))</f>
        <v>🟡 Acceptable</v>
      </c>
      <c r="R10" s="21"/>
    </row>
    <row r="11" spans="1:18" ht="21.75" customHeight="1" x14ac:dyDescent="0.2">
      <c r="A11" s="25"/>
      <c r="B11" s="25" t="s">
        <v>296</v>
      </c>
      <c r="C11" s="14" t="s">
        <v>304</v>
      </c>
      <c r="D11" s="15" t="s">
        <v>531</v>
      </c>
      <c r="E11" s="93">
        <f>$E$13*$E$31</f>
        <v>843.56999999999994</v>
      </c>
      <c r="F11" s="84" t="s">
        <v>296</v>
      </c>
      <c r="G11" s="24" t="s">
        <v>532</v>
      </c>
      <c r="H11" s="18">
        <v>2019</v>
      </c>
      <c r="I11" s="19" t="s">
        <v>282</v>
      </c>
      <c r="J11" s="19" t="s">
        <v>564</v>
      </c>
      <c r="K11" s="89"/>
      <c r="L11" s="84">
        <v>25</v>
      </c>
      <c r="M11" s="84">
        <v>15</v>
      </c>
      <c r="N11" s="84">
        <f>_xlfn.XLOOKUP(H11,'E Data_Inventory'!$H$3:$H$240,'E Data_Inventory'!N$3:N$240)</f>
        <v>5</v>
      </c>
      <c r="O11" s="84">
        <v>20</v>
      </c>
      <c r="P11" s="20">
        <f>L11+M11+N11+O11</f>
        <v>65</v>
      </c>
      <c r="Q11" s="15" t="str">
        <f>IF(P11&gt;=80,"✅ High Quality",IF(P11&gt;=60,"🟡 Acceptable",IF(P11&gt;=40,"⚠️ Use with Caution","🔴 Insufficient")))</f>
        <v>🟡 Acceptable</v>
      </c>
      <c r="R11" s="21"/>
    </row>
    <row r="12" spans="1:18" ht="21.75" customHeight="1" x14ac:dyDescent="0.2">
      <c r="A12" s="25"/>
      <c r="B12" s="25" t="s">
        <v>296</v>
      </c>
      <c r="C12" s="22" t="s">
        <v>297</v>
      </c>
      <c r="D12" s="23" t="s">
        <v>533</v>
      </c>
      <c r="E12" s="91">
        <v>4842</v>
      </c>
      <c r="F12" s="84" t="s">
        <v>296</v>
      </c>
      <c r="G12" s="17" t="s">
        <v>549</v>
      </c>
      <c r="H12" s="18">
        <v>2019</v>
      </c>
      <c r="I12" s="19" t="s">
        <v>282</v>
      </c>
      <c r="J12" s="19" t="s">
        <v>567</v>
      </c>
      <c r="K12" s="89"/>
      <c r="L12" s="84">
        <v>25</v>
      </c>
      <c r="M12" s="84">
        <v>15</v>
      </c>
      <c r="N12" s="84">
        <f>_xlfn.XLOOKUP(H12,'E Data_Inventory'!$H$3:$H$240,'E Data_Inventory'!N$3:N$240)</f>
        <v>5</v>
      </c>
      <c r="O12" s="84">
        <v>20</v>
      </c>
      <c r="P12" s="20">
        <f>L12+M12+N12+O12</f>
        <v>65</v>
      </c>
      <c r="Q12" s="23" t="str">
        <f>IF(P12&gt;=80,"✅ High Quality",IF(P12&gt;=60,"🟡 Acceptable",IF(P12&gt;=40,"⚠️ Use with Caution","🔴 Insufficient")))</f>
        <v>🟡 Acceptable</v>
      </c>
      <c r="R12" s="21"/>
    </row>
    <row r="13" spans="1:18" ht="21.75" customHeight="1" x14ac:dyDescent="0.2">
      <c r="A13" s="25"/>
      <c r="B13" s="25" t="s">
        <v>296</v>
      </c>
      <c r="C13" s="14" t="s">
        <v>299</v>
      </c>
      <c r="D13" s="15" t="s">
        <v>301</v>
      </c>
      <c r="E13" s="92">
        <v>0.21</v>
      </c>
      <c r="F13" s="84" t="s">
        <v>296</v>
      </c>
      <c r="G13" s="24" t="s">
        <v>99</v>
      </c>
      <c r="H13" s="18">
        <v>2019</v>
      </c>
      <c r="I13" s="19" t="s">
        <v>282</v>
      </c>
      <c r="J13" s="19" t="s">
        <v>284</v>
      </c>
      <c r="K13" s="89"/>
      <c r="L13" s="84">
        <v>25</v>
      </c>
      <c r="M13" s="84">
        <v>15</v>
      </c>
      <c r="N13" s="84">
        <f>_xlfn.XLOOKUP(H13,'E Data_Inventory'!$H$3:$H$240,'E Data_Inventory'!N$3:N$240)</f>
        <v>5</v>
      </c>
      <c r="O13" s="84">
        <v>20</v>
      </c>
      <c r="P13" s="20">
        <f>L13+M13+N13+O13</f>
        <v>65</v>
      </c>
      <c r="Q13" s="15" t="str">
        <f>IF(P13&gt;=80,"✅ High Quality",IF(P13&gt;=60,"🟡 Acceptable",IF(P13&gt;=40,"⚠️ Use with Caution","🔴 Insufficient")))</f>
        <v>🟡 Acceptable</v>
      </c>
      <c r="R13" s="21"/>
    </row>
    <row r="14" spans="1:18" ht="21.75" customHeight="1" x14ac:dyDescent="0.2">
      <c r="A14" s="25"/>
      <c r="B14" s="25" t="s">
        <v>296</v>
      </c>
      <c r="C14" s="14" t="s">
        <v>302</v>
      </c>
      <c r="D14" s="15" t="s">
        <v>169</v>
      </c>
      <c r="E14" s="94">
        <v>1.34</v>
      </c>
      <c r="F14" s="84" t="s">
        <v>526</v>
      </c>
      <c r="G14" s="24" t="s">
        <v>303</v>
      </c>
      <c r="H14" s="18">
        <v>2024</v>
      </c>
      <c r="I14" s="19" t="s">
        <v>282</v>
      </c>
      <c r="J14" s="19" t="s">
        <v>567</v>
      </c>
      <c r="K14" s="89"/>
      <c r="L14" s="84">
        <v>25</v>
      </c>
      <c r="M14" s="84">
        <v>15</v>
      </c>
      <c r="N14" s="84">
        <f>_xlfn.XLOOKUP(H14,'E Data_Inventory'!$H$3:$H$240,'E Data_Inventory'!N$3:N$240)</f>
        <v>25</v>
      </c>
      <c r="O14" s="84">
        <v>20</v>
      </c>
      <c r="P14" s="20">
        <f>L14+M14+N14+O14</f>
        <v>85</v>
      </c>
      <c r="Q14" s="15" t="str">
        <f>IF(P14&gt;=80,"✅ High Quality",IF(P14&gt;=60,"🟡 Acceptable",IF(P14&gt;=40,"⚠️ Use with Caution","🔴 Insufficient")))</f>
        <v>✅ High Quality</v>
      </c>
      <c r="R14" s="21"/>
    </row>
    <row r="15" spans="1:18" ht="21.75" customHeight="1" x14ac:dyDescent="0.2">
      <c r="A15" s="25"/>
      <c r="B15" s="25" t="s">
        <v>296</v>
      </c>
      <c r="C15" s="14" t="s">
        <v>302</v>
      </c>
      <c r="D15" s="15" t="s">
        <v>169</v>
      </c>
      <c r="E15" s="94">
        <v>1.52</v>
      </c>
      <c r="F15" s="84" t="s">
        <v>526</v>
      </c>
      <c r="G15" s="24" t="s">
        <v>303</v>
      </c>
      <c r="H15" s="18">
        <v>2023</v>
      </c>
      <c r="I15" s="19" t="s">
        <v>282</v>
      </c>
      <c r="J15" s="19" t="s">
        <v>567</v>
      </c>
      <c r="K15" s="89"/>
      <c r="L15" s="84">
        <v>25</v>
      </c>
      <c r="M15" s="84">
        <v>15</v>
      </c>
      <c r="N15" s="84">
        <f>_xlfn.XLOOKUP(H15,'E Data_Inventory'!$H$3:$H$240,'E Data_Inventory'!N$3:N$240)</f>
        <v>25</v>
      </c>
      <c r="O15" s="84">
        <v>20</v>
      </c>
      <c r="P15" s="20">
        <f>L15+M15+N15+O15</f>
        <v>85</v>
      </c>
      <c r="Q15" s="15" t="str">
        <f>IF(P15&gt;=80,"✅ High Quality",IF(P15&gt;=60,"🟡 Acceptable",IF(P15&gt;=40,"⚠️ Use with Caution","🔴 Insufficient")))</f>
        <v>✅ High Quality</v>
      </c>
      <c r="R15" s="21"/>
    </row>
    <row r="16" spans="1:18" ht="21.75" customHeight="1" x14ac:dyDescent="0.2">
      <c r="A16" s="25"/>
      <c r="B16" s="25" t="s">
        <v>296</v>
      </c>
      <c r="C16" s="14" t="s">
        <v>302</v>
      </c>
      <c r="D16" s="15" t="s">
        <v>169</v>
      </c>
      <c r="E16" s="94">
        <v>1.69</v>
      </c>
      <c r="F16" s="84" t="s">
        <v>526</v>
      </c>
      <c r="G16" s="24" t="s">
        <v>303</v>
      </c>
      <c r="H16" s="18">
        <v>2022</v>
      </c>
      <c r="I16" s="19" t="s">
        <v>282</v>
      </c>
      <c r="J16" s="19" t="s">
        <v>567</v>
      </c>
      <c r="K16" s="89"/>
      <c r="L16" s="84">
        <v>25</v>
      </c>
      <c r="M16" s="84">
        <v>15</v>
      </c>
      <c r="N16" s="84">
        <f>_xlfn.XLOOKUP(H16,'E Data_Inventory'!$H$3:$H$240,'E Data_Inventory'!N$3:N$240)</f>
        <v>20</v>
      </c>
      <c r="O16" s="84">
        <v>20</v>
      </c>
      <c r="P16" s="20">
        <f>L16+M16+N16+O16</f>
        <v>80</v>
      </c>
      <c r="Q16" s="15" t="str">
        <f>IF(P16&gt;=80,"✅ High Quality",IF(P16&gt;=60,"🟡 Acceptable",IF(P16&gt;=40,"⚠️ Use with Caution","🔴 Insufficient")))</f>
        <v>✅ High Quality</v>
      </c>
      <c r="R16" s="21"/>
    </row>
    <row r="17" spans="1:18" ht="21.75" customHeight="1" x14ac:dyDescent="0.2">
      <c r="A17" s="25"/>
      <c r="B17" s="25" t="s">
        <v>296</v>
      </c>
      <c r="C17" s="14" t="s">
        <v>302</v>
      </c>
      <c r="D17" s="15" t="s">
        <v>169</v>
      </c>
      <c r="E17" s="94">
        <v>1.61</v>
      </c>
      <c r="F17" s="84" t="s">
        <v>526</v>
      </c>
      <c r="G17" s="24" t="s">
        <v>303</v>
      </c>
      <c r="H17" s="18">
        <v>2021</v>
      </c>
      <c r="I17" s="19" t="s">
        <v>282</v>
      </c>
      <c r="J17" s="19" t="s">
        <v>564</v>
      </c>
      <c r="K17" s="89"/>
      <c r="L17" s="84">
        <v>25</v>
      </c>
      <c r="M17" s="84">
        <v>15</v>
      </c>
      <c r="N17" s="84">
        <f>_xlfn.XLOOKUP(H17,'E Data_Inventory'!$H$3:$H$240,'E Data_Inventory'!N$3:N$240)</f>
        <v>5</v>
      </c>
      <c r="O17" s="84">
        <v>20</v>
      </c>
      <c r="P17" s="20">
        <f>L17+M17+N17+O17</f>
        <v>65</v>
      </c>
      <c r="Q17" s="15" t="str">
        <f>IF(P17&gt;=80,"✅ High Quality",IF(P17&gt;=60,"🟡 Acceptable",IF(P17&gt;=40,"⚠️ Use with Caution","🔴 Insufficient")))</f>
        <v>🟡 Acceptable</v>
      </c>
      <c r="R17" s="21"/>
    </row>
    <row r="18" spans="1:18" ht="21.75" customHeight="1" x14ac:dyDescent="0.2">
      <c r="A18" s="25"/>
      <c r="B18" s="25" t="s">
        <v>296</v>
      </c>
      <c r="C18" s="14" t="s">
        <v>302</v>
      </c>
      <c r="D18" s="15" t="s">
        <v>169</v>
      </c>
      <c r="E18" s="94">
        <v>1.56</v>
      </c>
      <c r="F18" s="84" t="s">
        <v>526</v>
      </c>
      <c r="G18" s="24" t="s">
        <v>303</v>
      </c>
      <c r="H18" s="18">
        <v>2020</v>
      </c>
      <c r="I18" s="19" t="s">
        <v>282</v>
      </c>
      <c r="J18" s="19" t="s">
        <v>285</v>
      </c>
      <c r="K18" s="89"/>
      <c r="L18" s="84">
        <v>25</v>
      </c>
      <c r="M18" s="84">
        <v>15</v>
      </c>
      <c r="N18" s="84">
        <f>_xlfn.XLOOKUP(H18,'E Data_Inventory'!$H$3:$H$240,'E Data_Inventory'!N$3:N$240)</f>
        <v>5</v>
      </c>
      <c r="O18" s="84">
        <v>20</v>
      </c>
      <c r="P18" s="20">
        <f>L18+M18+N18+O18</f>
        <v>65</v>
      </c>
      <c r="Q18" s="15" t="str">
        <f>IF(P18&gt;=80,"✅ High Quality",IF(P18&gt;=60,"🟡 Acceptable",IF(P18&gt;=40,"⚠️ Use with Caution","🔴 Insufficient")))</f>
        <v>🟡 Acceptable</v>
      </c>
      <c r="R18" s="21"/>
    </row>
    <row r="19" spans="1:18" ht="21.75" customHeight="1" x14ac:dyDescent="0.2">
      <c r="A19" s="25"/>
      <c r="B19" s="25" t="s">
        <v>296</v>
      </c>
      <c r="C19" s="14" t="s">
        <v>302</v>
      </c>
      <c r="D19" s="15" t="s">
        <v>169</v>
      </c>
      <c r="E19" s="94">
        <v>1.68</v>
      </c>
      <c r="F19" s="84" t="s">
        <v>526</v>
      </c>
      <c r="G19" s="24" t="s">
        <v>303</v>
      </c>
      <c r="H19" s="18">
        <v>2019</v>
      </c>
      <c r="I19" s="19" t="s">
        <v>282</v>
      </c>
      <c r="J19" s="19" t="s">
        <v>567</v>
      </c>
      <c r="K19" s="89"/>
      <c r="L19" s="84">
        <v>25</v>
      </c>
      <c r="M19" s="84">
        <v>15</v>
      </c>
      <c r="N19" s="84">
        <f>_xlfn.XLOOKUP(H19,'E Data_Inventory'!$H$3:$H$240,'E Data_Inventory'!N$3:N$240)</f>
        <v>5</v>
      </c>
      <c r="O19" s="84">
        <v>20</v>
      </c>
      <c r="P19" s="20">
        <f>L19+M19+N19+O19</f>
        <v>65</v>
      </c>
      <c r="Q19" s="15" t="str">
        <f>IF(P19&gt;=80,"✅ High Quality",IF(P19&gt;=60,"🟡 Acceptable",IF(P19&gt;=40,"⚠️ Use with Caution","🔴 Insufficient")))</f>
        <v>🟡 Acceptable</v>
      </c>
      <c r="R19" s="21"/>
    </row>
    <row r="20" spans="1:18" ht="21.75" customHeight="1" x14ac:dyDescent="0.2">
      <c r="A20" s="25"/>
      <c r="B20" s="25" t="s">
        <v>296</v>
      </c>
      <c r="C20" s="14" t="s">
        <v>297</v>
      </c>
      <c r="D20" s="15" t="s">
        <v>142</v>
      </c>
      <c r="E20" s="93">
        <v>50017</v>
      </c>
      <c r="F20" s="84" t="s">
        <v>526</v>
      </c>
      <c r="G20" s="24" t="s">
        <v>298</v>
      </c>
      <c r="H20" s="18">
        <v>2024</v>
      </c>
      <c r="I20" s="19" t="s">
        <v>282</v>
      </c>
      <c r="J20" s="19" t="s">
        <v>566</v>
      </c>
      <c r="K20" s="89"/>
      <c r="L20" s="84">
        <v>25</v>
      </c>
      <c r="M20" s="84">
        <v>15</v>
      </c>
      <c r="N20" s="84">
        <f>_xlfn.XLOOKUP(H20,'E Data_Inventory'!$H$3:$H$240,'E Data_Inventory'!N$3:N$240)</f>
        <v>25</v>
      </c>
      <c r="O20" s="84">
        <v>20</v>
      </c>
      <c r="P20" s="20">
        <f>L20+M20+N20+O20</f>
        <v>85</v>
      </c>
      <c r="Q20" s="15" t="str">
        <f>IF(P20&gt;=80,"✅ High Quality",IF(P20&gt;=60,"🟡 Acceptable",IF(P20&gt;=40,"⚠️ Use with Caution","🔴 Insufficient")))</f>
        <v>✅ High Quality</v>
      </c>
      <c r="R20" s="21"/>
    </row>
    <row r="21" spans="1:18" ht="21.75" customHeight="1" x14ac:dyDescent="0.2">
      <c r="A21" s="25"/>
      <c r="B21" s="25" t="s">
        <v>296</v>
      </c>
      <c r="C21" s="22" t="s">
        <v>299</v>
      </c>
      <c r="D21" s="23" t="s">
        <v>300</v>
      </c>
      <c r="E21" s="96">
        <v>8785.0300000000007</v>
      </c>
      <c r="F21" s="84" t="s">
        <v>296</v>
      </c>
      <c r="G21" s="17" t="s">
        <v>549</v>
      </c>
      <c r="H21" s="18">
        <v>2019</v>
      </c>
      <c r="I21" s="19" t="s">
        <v>282</v>
      </c>
      <c r="J21" s="19" t="s">
        <v>564</v>
      </c>
      <c r="K21" s="89"/>
      <c r="L21" s="84">
        <v>25</v>
      </c>
      <c r="M21" s="84">
        <v>15</v>
      </c>
      <c r="N21" s="84">
        <f>_xlfn.XLOOKUP(H21,'E Data_Inventory'!$H$3:$H$240,'E Data_Inventory'!N$3:N$240)</f>
        <v>5</v>
      </c>
      <c r="O21" s="84">
        <v>20</v>
      </c>
      <c r="P21" s="20">
        <f>L21+M21+N21+O21</f>
        <v>65</v>
      </c>
      <c r="Q21" s="23" t="str">
        <f>IF(P21&gt;=80,"✅ High Quality",IF(P21&gt;=60,"🟡 Acceptable",IF(P21&gt;=40,"⚠️ Use with Caution","🔴 Insufficient")))</f>
        <v>🟡 Acceptable</v>
      </c>
      <c r="R21" s="21"/>
    </row>
    <row r="22" spans="1:18" ht="21.75" customHeight="1" x14ac:dyDescent="0.2">
      <c r="A22" s="25"/>
      <c r="B22" s="25" t="s">
        <v>296</v>
      </c>
      <c r="C22" s="14" t="s">
        <v>297</v>
      </c>
      <c r="D22" s="15" t="s">
        <v>142</v>
      </c>
      <c r="E22" s="93">
        <v>54075</v>
      </c>
      <c r="F22" s="84" t="s">
        <v>526</v>
      </c>
      <c r="G22" s="24" t="s">
        <v>298</v>
      </c>
      <c r="H22" s="18">
        <v>2023</v>
      </c>
      <c r="I22" s="19" t="s">
        <v>282</v>
      </c>
      <c r="J22" s="19" t="s">
        <v>564</v>
      </c>
      <c r="K22" s="89"/>
      <c r="L22" s="84">
        <v>25</v>
      </c>
      <c r="M22" s="84">
        <v>15</v>
      </c>
      <c r="N22" s="84">
        <f>_xlfn.XLOOKUP(H22,'E Data_Inventory'!$H$3:$H$240,'E Data_Inventory'!N$3:N$240)</f>
        <v>25</v>
      </c>
      <c r="O22" s="84">
        <v>20</v>
      </c>
      <c r="P22" s="20">
        <f>L22+M22+N22+O22</f>
        <v>85</v>
      </c>
      <c r="Q22" s="15" t="str">
        <f>IF(P22&gt;=80,"✅ High Quality",IF(P22&gt;=60,"🟡 Acceptable",IF(P22&gt;=40,"⚠️ Use with Caution","🔴 Insufficient")))</f>
        <v>✅ High Quality</v>
      </c>
      <c r="R22" s="21"/>
    </row>
    <row r="23" spans="1:18" ht="21.75" customHeight="1" x14ac:dyDescent="0.2">
      <c r="A23" s="25"/>
      <c r="B23" s="25" t="s">
        <v>296</v>
      </c>
      <c r="C23" s="14" t="s">
        <v>304</v>
      </c>
      <c r="D23" s="15" t="s">
        <v>183</v>
      </c>
      <c r="E23" s="91">
        <v>15</v>
      </c>
      <c r="F23" s="84" t="s">
        <v>296</v>
      </c>
      <c r="G23" s="24" t="s">
        <v>305</v>
      </c>
      <c r="H23" s="18">
        <v>2020</v>
      </c>
      <c r="I23" s="19" t="s">
        <v>282</v>
      </c>
      <c r="J23" s="19" t="s">
        <v>566</v>
      </c>
      <c r="K23" s="89"/>
      <c r="L23" s="84">
        <v>25</v>
      </c>
      <c r="M23" s="84">
        <v>15</v>
      </c>
      <c r="N23" s="84">
        <f>_xlfn.XLOOKUP(H23,'E Data_Inventory'!$H$3:$H$240,'E Data_Inventory'!N$3:N$240)</f>
        <v>5</v>
      </c>
      <c r="O23" s="84">
        <v>20</v>
      </c>
      <c r="P23" s="20">
        <f>L23+M23+N23+O23</f>
        <v>65</v>
      </c>
      <c r="Q23" s="15" t="str">
        <f>IF(P23&gt;=80,"✅ High Quality",IF(P23&gt;=60,"🟡 Acceptable",IF(P23&gt;=40,"⚠️ Use with Caution","🔴 Insufficient")))</f>
        <v>🟡 Acceptable</v>
      </c>
      <c r="R23" s="21"/>
    </row>
    <row r="24" spans="1:18" ht="21.75" customHeight="1" x14ac:dyDescent="0.2">
      <c r="A24" s="25"/>
      <c r="B24" s="25" t="s">
        <v>296</v>
      </c>
      <c r="C24" s="14" t="s">
        <v>297</v>
      </c>
      <c r="D24" s="15" t="s">
        <v>142</v>
      </c>
      <c r="E24" s="93">
        <v>49536</v>
      </c>
      <c r="F24" s="84" t="s">
        <v>526</v>
      </c>
      <c r="G24" s="24" t="s">
        <v>298</v>
      </c>
      <c r="H24" s="18">
        <v>2022</v>
      </c>
      <c r="I24" s="19" t="s">
        <v>282</v>
      </c>
      <c r="J24" s="19" t="s">
        <v>564</v>
      </c>
      <c r="K24" s="89"/>
      <c r="L24" s="84">
        <v>25</v>
      </c>
      <c r="M24" s="84">
        <v>15</v>
      </c>
      <c r="N24" s="84">
        <f>_xlfn.XLOOKUP(H24,'E Data_Inventory'!$H$3:$H$240,'E Data_Inventory'!N$3:N$240)</f>
        <v>20</v>
      </c>
      <c r="O24" s="84">
        <v>20</v>
      </c>
      <c r="P24" s="20">
        <f>L24+M24+N24+O24</f>
        <v>80</v>
      </c>
      <c r="Q24" s="15" t="str">
        <f>IF(P24&gt;=80,"✅ High Quality",IF(P24&gt;=60,"🟡 Acceptable",IF(P24&gt;=40,"⚠️ Use with Caution","🔴 Insufficient")))</f>
        <v>✅ High Quality</v>
      </c>
      <c r="R24" s="21"/>
    </row>
    <row r="25" spans="1:18" ht="21.75" customHeight="1" x14ac:dyDescent="0.2">
      <c r="A25" s="25"/>
      <c r="B25" s="25" t="s">
        <v>296</v>
      </c>
      <c r="C25" s="14" t="s">
        <v>297</v>
      </c>
      <c r="D25" s="15" t="s">
        <v>142</v>
      </c>
      <c r="E25" s="93">
        <v>46688</v>
      </c>
      <c r="F25" s="84" t="s">
        <v>296</v>
      </c>
      <c r="G25" s="24" t="s">
        <v>298</v>
      </c>
      <c r="H25" s="18">
        <v>2020</v>
      </c>
      <c r="I25" s="19" t="s">
        <v>282</v>
      </c>
      <c r="J25" s="19" t="s">
        <v>564</v>
      </c>
      <c r="K25" s="89"/>
      <c r="L25" s="84">
        <v>25</v>
      </c>
      <c r="M25" s="84">
        <v>15</v>
      </c>
      <c r="N25" s="84">
        <f>_xlfn.XLOOKUP(H25,'E Data_Inventory'!$H$3:$H$240,'E Data_Inventory'!N$3:N$240)</f>
        <v>5</v>
      </c>
      <c r="O25" s="84">
        <v>20</v>
      </c>
      <c r="P25" s="20">
        <f>L25+M25+N25+O25</f>
        <v>65</v>
      </c>
      <c r="Q25" s="15" t="str">
        <f>IF(P25&gt;=80,"✅ High Quality",IF(P25&gt;=60,"🟡 Acceptable",IF(P25&gt;=40,"⚠️ Use with Caution","🔴 Insufficient")))</f>
        <v>🟡 Acceptable</v>
      </c>
      <c r="R25" s="21"/>
    </row>
    <row r="26" spans="1:18" ht="21.75" customHeight="1" x14ac:dyDescent="0.2">
      <c r="A26" s="25"/>
      <c r="B26" s="25" t="s">
        <v>296</v>
      </c>
      <c r="C26" s="14" t="s">
        <v>297</v>
      </c>
      <c r="D26" s="15" t="s">
        <v>142</v>
      </c>
      <c r="E26" s="93">
        <v>49257</v>
      </c>
      <c r="F26" s="84" t="s">
        <v>526</v>
      </c>
      <c r="G26" s="24" t="s">
        <v>298</v>
      </c>
      <c r="H26" s="18">
        <v>2021</v>
      </c>
      <c r="I26" s="19" t="s">
        <v>282</v>
      </c>
      <c r="J26" s="19" t="s">
        <v>564</v>
      </c>
      <c r="K26" s="89"/>
      <c r="L26" s="84">
        <v>25</v>
      </c>
      <c r="M26" s="84">
        <v>15</v>
      </c>
      <c r="N26" s="84">
        <f>_xlfn.XLOOKUP(H26,'E Data_Inventory'!$H$3:$H$240,'E Data_Inventory'!N$3:N$240)</f>
        <v>5</v>
      </c>
      <c r="O26" s="84">
        <v>20</v>
      </c>
      <c r="P26" s="20">
        <f>L26+M26+N26+O26</f>
        <v>65</v>
      </c>
      <c r="Q26" s="15" t="str">
        <f>IF(P26&gt;=80,"✅ High Quality",IF(P26&gt;=60,"🟡 Acceptable",IF(P26&gt;=40,"⚠️ Use with Caution","🔴 Insufficient")))</f>
        <v>🟡 Acceptable</v>
      </c>
      <c r="R26" s="21"/>
    </row>
    <row r="27" spans="1:18" ht="21.75" customHeight="1" x14ac:dyDescent="0.2">
      <c r="A27" s="25"/>
      <c r="B27" s="25" t="s">
        <v>296</v>
      </c>
      <c r="C27" s="14" t="s">
        <v>302</v>
      </c>
      <c r="D27" s="15" t="s">
        <v>169</v>
      </c>
      <c r="E27" s="91">
        <v>0.6</v>
      </c>
      <c r="F27" s="84" t="s">
        <v>296</v>
      </c>
      <c r="G27" s="24" t="s">
        <v>303</v>
      </c>
      <c r="H27" s="18">
        <v>2020</v>
      </c>
      <c r="I27" s="19" t="s">
        <v>282</v>
      </c>
      <c r="J27" s="19" t="s">
        <v>284</v>
      </c>
      <c r="K27" s="89"/>
      <c r="L27" s="84">
        <v>25</v>
      </c>
      <c r="M27" s="84">
        <v>15</v>
      </c>
      <c r="N27" s="84">
        <f>_xlfn.XLOOKUP(H27,'E Data_Inventory'!$H$3:$H$240,'E Data_Inventory'!N$3:N$240)</f>
        <v>5</v>
      </c>
      <c r="O27" s="84">
        <v>20</v>
      </c>
      <c r="P27" s="20">
        <f>L27+M27+N27+O27</f>
        <v>65</v>
      </c>
      <c r="Q27" s="15" t="str">
        <f>IF(P27&gt;=80,"✅ High Quality",IF(P27&gt;=60,"🟡 Acceptable",IF(P27&gt;=40,"⚠️ Use with Caution","🔴 Insufficient")))</f>
        <v>🟡 Acceptable</v>
      </c>
      <c r="R27" s="21"/>
    </row>
    <row r="28" spans="1:18" ht="21.75" customHeight="1" x14ac:dyDescent="0.2">
      <c r="A28" s="25"/>
      <c r="B28" s="25" t="s">
        <v>296</v>
      </c>
      <c r="C28" s="14" t="s">
        <v>297</v>
      </c>
      <c r="D28" s="15" t="s">
        <v>142</v>
      </c>
      <c r="E28" s="93">
        <v>49300</v>
      </c>
      <c r="F28" s="84" t="s">
        <v>526</v>
      </c>
      <c r="G28" s="24" t="s">
        <v>298</v>
      </c>
      <c r="H28" s="18">
        <v>2020</v>
      </c>
      <c r="I28" s="19" t="s">
        <v>282</v>
      </c>
      <c r="J28" s="19" t="s">
        <v>568</v>
      </c>
      <c r="K28" s="89"/>
      <c r="L28" s="84">
        <v>25</v>
      </c>
      <c r="M28" s="84">
        <v>15</v>
      </c>
      <c r="N28" s="84">
        <f>_xlfn.XLOOKUP(H28,'E Data_Inventory'!$H$3:$H$240,'E Data_Inventory'!N$3:N$240)</f>
        <v>5</v>
      </c>
      <c r="O28" s="84">
        <v>20</v>
      </c>
      <c r="P28" s="20">
        <f>L28+M28+N28+O28</f>
        <v>65</v>
      </c>
      <c r="Q28" s="15" t="str">
        <f>IF(P28&gt;=80,"✅ High Quality",IF(P28&gt;=60,"🟡 Acceptable",IF(P28&gt;=40,"⚠️ Use with Caution","🔴 Insufficient")))</f>
        <v>🟡 Acceptable</v>
      </c>
      <c r="R28" s="21"/>
    </row>
    <row r="29" spans="1:18" ht="21.75" customHeight="1" x14ac:dyDescent="0.2">
      <c r="A29" s="25"/>
      <c r="B29" s="25" t="s">
        <v>296</v>
      </c>
      <c r="C29" s="14" t="s">
        <v>304</v>
      </c>
      <c r="D29" s="15" t="s">
        <v>531</v>
      </c>
      <c r="E29" s="93">
        <f ca="1">$E$12*$E$29</f>
        <v>5162891184</v>
      </c>
      <c r="F29" s="84" t="s">
        <v>296</v>
      </c>
      <c r="G29" s="24" t="s">
        <v>532</v>
      </c>
      <c r="H29" s="18">
        <v>2020</v>
      </c>
      <c r="I29" s="19" t="s">
        <v>282</v>
      </c>
      <c r="J29" s="19" t="s">
        <v>567</v>
      </c>
      <c r="K29" s="89"/>
      <c r="L29" s="84">
        <v>25</v>
      </c>
      <c r="M29" s="84">
        <v>15</v>
      </c>
      <c r="N29" s="84">
        <f>_xlfn.XLOOKUP(H29,'E Data_Inventory'!$H$3:$H$240,'E Data_Inventory'!N$3:N$240)</f>
        <v>5</v>
      </c>
      <c r="O29" s="84">
        <v>20</v>
      </c>
      <c r="P29" s="20">
        <f>L29+M29+N29+O29</f>
        <v>65</v>
      </c>
      <c r="Q29" s="15" t="str">
        <f>IF(P29&gt;=80,"✅ High Quality",IF(P29&gt;=60,"🟡 Acceptable",IF(P29&gt;=40,"⚠️ Use with Caution","🔴 Insufficient")))</f>
        <v>🟡 Acceptable</v>
      </c>
      <c r="R29" s="21"/>
    </row>
    <row r="30" spans="1:18" ht="21.75" hidden="1" customHeight="1" x14ac:dyDescent="0.2">
      <c r="A30" s="25"/>
      <c r="B30" s="25" t="s">
        <v>296</v>
      </c>
      <c r="C30" s="14" t="s">
        <v>297</v>
      </c>
      <c r="D30" s="15" t="s">
        <v>142</v>
      </c>
      <c r="E30" s="93" t="s">
        <v>561</v>
      </c>
      <c r="F30" s="84" t="s">
        <v>526</v>
      </c>
      <c r="G30" s="24" t="s">
        <v>298</v>
      </c>
      <c r="H30" s="18">
        <v>2019</v>
      </c>
      <c r="I30" s="19" t="s">
        <v>282</v>
      </c>
      <c r="J30" s="19" t="s">
        <v>568</v>
      </c>
      <c r="K30" s="89"/>
      <c r="L30" s="84">
        <v>25</v>
      </c>
      <c r="M30" s="84">
        <v>25</v>
      </c>
      <c r="N30" s="84">
        <v>25</v>
      </c>
      <c r="O30" s="84">
        <v>15</v>
      </c>
      <c r="P30" s="20">
        <f>L30+M30+N30+O30</f>
        <v>90</v>
      </c>
      <c r="Q30" s="15" t="str">
        <f>IF(P30&gt;=80,"✅ High Quality",IF(P30&gt;=60,"🟡 Acceptable",IF(P30&gt;=40,"⚠️ Use with Caution","🔴 Insufficient")))</f>
        <v>✅ High Quality</v>
      </c>
      <c r="R30" s="21"/>
    </row>
    <row r="31" spans="1:18" ht="21.75" customHeight="1" x14ac:dyDescent="0.2">
      <c r="A31" s="25"/>
      <c r="B31" s="25" t="s">
        <v>296</v>
      </c>
      <c r="C31" s="22" t="s">
        <v>297</v>
      </c>
      <c r="D31" s="23" t="s">
        <v>533</v>
      </c>
      <c r="E31" s="91">
        <v>4017</v>
      </c>
      <c r="F31" s="84" t="s">
        <v>296</v>
      </c>
      <c r="G31" s="17" t="s">
        <v>549</v>
      </c>
      <c r="H31" s="18">
        <v>2020</v>
      </c>
      <c r="I31" s="19" t="s">
        <v>282</v>
      </c>
      <c r="J31" s="19" t="s">
        <v>566</v>
      </c>
      <c r="K31" s="89"/>
      <c r="L31" s="84">
        <v>25</v>
      </c>
      <c r="M31" s="84">
        <v>15</v>
      </c>
      <c r="N31" s="84">
        <f>_xlfn.XLOOKUP(H31,'E Data_Inventory'!$H$3:$H$240,'E Data_Inventory'!N$3:N$240)</f>
        <v>5</v>
      </c>
      <c r="O31" s="84">
        <v>20</v>
      </c>
      <c r="P31" s="20">
        <f>L31+M31+N31+O31</f>
        <v>65</v>
      </c>
      <c r="Q31" s="23" t="str">
        <f>IF(P31&gt;=80,"✅ High Quality",IF(P31&gt;=60,"🟡 Acceptable",IF(P31&gt;=40,"⚠️ Use with Caution","🔴 Insufficient")))</f>
        <v>🟡 Acceptable</v>
      </c>
      <c r="R31" s="21"/>
    </row>
    <row r="32" spans="1:18" ht="21.75" customHeight="1" x14ac:dyDescent="0.2">
      <c r="A32" s="25"/>
      <c r="B32" s="25" t="s">
        <v>296</v>
      </c>
      <c r="C32" s="14" t="s">
        <v>299</v>
      </c>
      <c r="D32" s="15" t="s">
        <v>301</v>
      </c>
      <c r="E32" s="95">
        <v>0.22</v>
      </c>
      <c r="F32" s="84" t="s">
        <v>296</v>
      </c>
      <c r="G32" s="24" t="s">
        <v>99</v>
      </c>
      <c r="H32" s="18">
        <v>2020</v>
      </c>
      <c r="I32" s="19" t="s">
        <v>282</v>
      </c>
      <c r="J32" s="19" t="s">
        <v>565</v>
      </c>
      <c r="K32" s="89"/>
      <c r="L32" s="84">
        <v>25</v>
      </c>
      <c r="M32" s="84">
        <v>15</v>
      </c>
      <c r="N32" s="84">
        <f>_xlfn.XLOOKUP(H32,'E Data_Inventory'!$H$3:$H$240,'E Data_Inventory'!N$3:N$240)</f>
        <v>5</v>
      </c>
      <c r="O32" s="84">
        <v>20</v>
      </c>
      <c r="P32" s="20">
        <f>L32+M32+N32+O32</f>
        <v>65</v>
      </c>
      <c r="Q32" s="15" t="str">
        <f>IF(P32&gt;=80,"✅ High Quality",IF(P32&gt;=60,"🟡 Acceptable",IF(P32&gt;=40,"⚠️ Use with Caution","🔴 Insufficient")))</f>
        <v>🟡 Acceptable</v>
      </c>
      <c r="R32" s="21"/>
    </row>
    <row r="33" spans="1:18" ht="21.75" customHeight="1" x14ac:dyDescent="0.2">
      <c r="A33" s="25"/>
      <c r="B33" s="25" t="s">
        <v>296</v>
      </c>
      <c r="C33" s="22" t="s">
        <v>299</v>
      </c>
      <c r="D33" s="23" t="s">
        <v>300</v>
      </c>
      <c r="E33" s="96">
        <v>8870.7199999999993</v>
      </c>
      <c r="F33" s="84" t="s">
        <v>296</v>
      </c>
      <c r="G33" s="17" t="s">
        <v>549</v>
      </c>
      <c r="H33" s="18">
        <v>2020</v>
      </c>
      <c r="I33" s="19" t="s">
        <v>282</v>
      </c>
      <c r="J33" s="19" t="s">
        <v>285</v>
      </c>
      <c r="K33" s="89"/>
      <c r="L33" s="84">
        <v>25</v>
      </c>
      <c r="M33" s="84">
        <v>15</v>
      </c>
      <c r="N33" s="84">
        <f>_xlfn.XLOOKUP(H33,'E Data_Inventory'!$H$3:$H$240,'E Data_Inventory'!N$3:N$240)</f>
        <v>5</v>
      </c>
      <c r="O33" s="84">
        <v>20</v>
      </c>
      <c r="P33" s="20">
        <f>L33+M33+N33+O33</f>
        <v>65</v>
      </c>
      <c r="Q33" s="23" t="str">
        <f>IF(P33&gt;=80,"✅ High Quality",IF(P33&gt;=60,"🟡 Acceptable",IF(P33&gt;=40,"⚠️ Use with Caution","🔴 Insufficient")))</f>
        <v>🟡 Acceptable</v>
      </c>
      <c r="R33" s="21"/>
    </row>
    <row r="34" spans="1:18" ht="21.75" customHeight="1" x14ac:dyDescent="0.2">
      <c r="A34" s="25"/>
      <c r="B34" s="25" t="s">
        <v>296</v>
      </c>
      <c r="C34" s="14" t="s">
        <v>304</v>
      </c>
      <c r="D34" s="90" t="s">
        <v>183</v>
      </c>
      <c r="E34" s="91">
        <v>18.7</v>
      </c>
      <c r="F34" s="84" t="s">
        <v>296</v>
      </c>
      <c r="G34" s="24" t="s">
        <v>305</v>
      </c>
      <c r="H34" s="18">
        <v>2021</v>
      </c>
      <c r="I34" s="19" t="s">
        <v>282</v>
      </c>
      <c r="J34" s="19" t="s">
        <v>285</v>
      </c>
      <c r="K34" s="89"/>
      <c r="L34" s="84">
        <v>25</v>
      </c>
      <c r="M34" s="84">
        <v>15</v>
      </c>
      <c r="N34" s="84">
        <f>_xlfn.XLOOKUP(H34,'E Data_Inventory'!$H$3:$H$240,'E Data_Inventory'!N$3:N$240)</f>
        <v>5</v>
      </c>
      <c r="O34" s="84">
        <v>20</v>
      </c>
      <c r="P34" s="20">
        <f>L34+M34+N34+O34</f>
        <v>65</v>
      </c>
      <c r="Q34" s="35" t="str">
        <f>IF(P34&gt;=80,"✅ High Quality",IF(P34&gt;=60,"🟡 Acceptable",IF(P34&gt;=40,"⚠️ Use with Caution","🔴 Insufficient")))</f>
        <v>🟡 Acceptable</v>
      </c>
      <c r="R34" s="21"/>
    </row>
    <row r="35" spans="1:18" ht="21.75" customHeight="1" x14ac:dyDescent="0.2">
      <c r="A35" s="25"/>
      <c r="B35" s="25" t="s">
        <v>296</v>
      </c>
      <c r="C35" s="14" t="s">
        <v>297</v>
      </c>
      <c r="D35" s="15" t="s">
        <v>142</v>
      </c>
      <c r="E35" s="93">
        <v>48045</v>
      </c>
      <c r="F35" s="84" t="s">
        <v>296</v>
      </c>
      <c r="G35" s="24" t="s">
        <v>298</v>
      </c>
      <c r="H35" s="18">
        <v>2021</v>
      </c>
      <c r="I35" s="19" t="s">
        <v>282</v>
      </c>
      <c r="J35" s="19" t="s">
        <v>567</v>
      </c>
      <c r="K35" s="89"/>
      <c r="L35" s="84">
        <v>25</v>
      </c>
      <c r="M35" s="84">
        <v>15</v>
      </c>
      <c r="N35" s="84">
        <f>_xlfn.XLOOKUP(H35,'E Data_Inventory'!$H$3:$H$240,'E Data_Inventory'!N$3:N$240)</f>
        <v>5</v>
      </c>
      <c r="O35" s="84">
        <v>20</v>
      </c>
      <c r="P35" s="20">
        <f>L35+M35+N35+O35</f>
        <v>65</v>
      </c>
      <c r="Q35" s="15" t="str">
        <f>IF(P35&gt;=80,"✅ High Quality",IF(P35&gt;=60,"🟡 Acceptable",IF(P35&gt;=40,"⚠️ Use with Caution","🔴 Insufficient")))</f>
        <v>🟡 Acceptable</v>
      </c>
      <c r="R35" s="21"/>
    </row>
    <row r="36" spans="1:18" ht="21.75" customHeight="1" x14ac:dyDescent="0.2">
      <c r="A36" s="25"/>
      <c r="B36" s="25" t="s">
        <v>296</v>
      </c>
      <c r="C36" s="14" t="s">
        <v>302</v>
      </c>
      <c r="D36" s="15" t="s">
        <v>169</v>
      </c>
      <c r="E36" s="91">
        <v>0.59</v>
      </c>
      <c r="F36" s="84" t="s">
        <v>296</v>
      </c>
      <c r="G36" s="24" t="s">
        <v>303</v>
      </c>
      <c r="H36" s="18">
        <v>2021</v>
      </c>
      <c r="I36" s="19" t="s">
        <v>282</v>
      </c>
      <c r="J36" s="19" t="s">
        <v>567</v>
      </c>
      <c r="K36" s="89"/>
      <c r="L36" s="84">
        <v>25</v>
      </c>
      <c r="M36" s="84">
        <v>15</v>
      </c>
      <c r="N36" s="84">
        <f>_xlfn.XLOOKUP(H36,'E Data_Inventory'!$H$3:$H$240,'E Data_Inventory'!N$3:N$240)</f>
        <v>5</v>
      </c>
      <c r="O36" s="84">
        <v>20</v>
      </c>
      <c r="P36" s="20">
        <f>L36+M36+N36+O36</f>
        <v>65</v>
      </c>
      <c r="Q36" s="15" t="str">
        <f>IF(P36&gt;=80,"✅ High Quality",IF(P36&gt;=60,"🟡 Acceptable",IF(P36&gt;=40,"⚠️ Use with Caution","🔴 Insufficient")))</f>
        <v>🟡 Acceptable</v>
      </c>
      <c r="R36" s="21"/>
    </row>
    <row r="37" spans="1:18" ht="21.75" customHeight="1" x14ac:dyDescent="0.2">
      <c r="A37" s="25"/>
      <c r="B37" s="25" t="s">
        <v>296</v>
      </c>
      <c r="C37" s="14" t="s">
        <v>304</v>
      </c>
      <c r="D37" s="15" t="s">
        <v>531</v>
      </c>
      <c r="E37" s="93">
        <f>$E$27*$E$11</f>
        <v>506.14199999999994</v>
      </c>
      <c r="F37" s="84" t="s">
        <v>296</v>
      </c>
      <c r="G37" s="24" t="s">
        <v>532</v>
      </c>
      <c r="H37" s="18">
        <v>2021</v>
      </c>
      <c r="I37" s="19" t="s">
        <v>282</v>
      </c>
      <c r="J37" s="19" t="s">
        <v>565</v>
      </c>
      <c r="K37" s="89"/>
      <c r="L37" s="84">
        <v>25</v>
      </c>
      <c r="M37" s="84">
        <v>15</v>
      </c>
      <c r="N37" s="84">
        <f>_xlfn.XLOOKUP(H37,'E Data_Inventory'!$H$3:$H$240,'E Data_Inventory'!N$3:N$240)</f>
        <v>5</v>
      </c>
      <c r="O37" s="84">
        <v>20</v>
      </c>
      <c r="P37" s="20">
        <f>L37+M37+N37+O37</f>
        <v>65</v>
      </c>
      <c r="Q37" s="15" t="str">
        <f>IF(P37&gt;=80,"✅ High Quality",IF(P37&gt;=60,"🟡 Acceptable",IF(P37&gt;=40,"⚠️ Use with Caution","🔴 Insufficient")))</f>
        <v>🟡 Acceptable</v>
      </c>
      <c r="R37" s="21"/>
    </row>
    <row r="38" spans="1:18" ht="21.75" customHeight="1" x14ac:dyDescent="0.2">
      <c r="A38" s="25"/>
      <c r="B38" s="25" t="s">
        <v>296</v>
      </c>
      <c r="C38" s="14" t="s">
        <v>304</v>
      </c>
      <c r="D38" s="15" t="s">
        <v>531</v>
      </c>
      <c r="E38" s="93">
        <v>602035</v>
      </c>
      <c r="F38" s="84" t="s">
        <v>526</v>
      </c>
      <c r="G38" s="24" t="s">
        <v>532</v>
      </c>
      <c r="H38" s="18">
        <v>2024</v>
      </c>
      <c r="I38" s="19" t="s">
        <v>282</v>
      </c>
      <c r="J38" s="19" t="s">
        <v>567</v>
      </c>
      <c r="K38" s="89"/>
      <c r="L38" s="84">
        <v>25</v>
      </c>
      <c r="M38" s="84">
        <v>15</v>
      </c>
      <c r="N38" s="84">
        <f>_xlfn.XLOOKUP(H38,'E Data_Inventory'!$H$3:$H$240,'E Data_Inventory'!N$3:N$240)</f>
        <v>25</v>
      </c>
      <c r="O38" s="84">
        <v>20</v>
      </c>
      <c r="P38" s="20">
        <f>L38+M38+N38+O38</f>
        <v>85</v>
      </c>
      <c r="Q38" s="15" t="str">
        <f>IF(P38&gt;=80,"✅ High Quality",IF(P38&gt;=60,"🟡 Acceptable",IF(P38&gt;=40,"⚠️ Use with Caution","🔴 Insufficient")))</f>
        <v>✅ High Quality</v>
      </c>
      <c r="R38" s="21"/>
    </row>
    <row r="39" spans="1:18" ht="21.75" customHeight="1" x14ac:dyDescent="0.2">
      <c r="A39" s="25"/>
      <c r="B39" s="25" t="s">
        <v>296</v>
      </c>
      <c r="C39" s="14" t="s">
        <v>304</v>
      </c>
      <c r="D39" s="15" t="s">
        <v>531</v>
      </c>
      <c r="E39" s="93">
        <v>557244</v>
      </c>
      <c r="F39" s="84" t="s">
        <v>526</v>
      </c>
      <c r="G39" s="24" t="s">
        <v>532</v>
      </c>
      <c r="H39" s="18">
        <v>2023</v>
      </c>
      <c r="I39" s="19" t="s">
        <v>282</v>
      </c>
      <c r="J39" s="19" t="s">
        <v>567</v>
      </c>
      <c r="K39" s="89"/>
      <c r="L39" s="84">
        <v>25</v>
      </c>
      <c r="M39" s="84">
        <v>15</v>
      </c>
      <c r="N39" s="84">
        <f>_xlfn.XLOOKUP(H39,'E Data_Inventory'!$H$3:$H$240,'E Data_Inventory'!N$3:N$240)</f>
        <v>25</v>
      </c>
      <c r="O39" s="84">
        <v>20</v>
      </c>
      <c r="P39" s="20">
        <f>L39+M39+N39+O39</f>
        <v>85</v>
      </c>
      <c r="Q39" s="15" t="str">
        <f>IF(P39&gt;=80,"✅ High Quality",IF(P39&gt;=60,"🟡 Acceptable",IF(P39&gt;=40,"⚠️ Use with Caution","🔴 Insufficient")))</f>
        <v>✅ High Quality</v>
      </c>
      <c r="R39" s="21"/>
    </row>
    <row r="40" spans="1:18" ht="21.75" customHeight="1" x14ac:dyDescent="0.2">
      <c r="A40" s="25"/>
      <c r="B40" s="25" t="s">
        <v>296</v>
      </c>
      <c r="C40" s="14" t="s">
        <v>304</v>
      </c>
      <c r="D40" s="15" t="s">
        <v>531</v>
      </c>
      <c r="E40" s="93">
        <v>335505</v>
      </c>
      <c r="F40" s="84" t="s">
        <v>526</v>
      </c>
      <c r="G40" s="24" t="s">
        <v>532</v>
      </c>
      <c r="H40" s="18">
        <v>2022</v>
      </c>
      <c r="I40" s="19" t="s">
        <v>282</v>
      </c>
      <c r="J40" s="19" t="s">
        <v>567</v>
      </c>
      <c r="K40" s="89"/>
      <c r="L40" s="84">
        <v>25</v>
      </c>
      <c r="M40" s="84">
        <v>15</v>
      </c>
      <c r="N40" s="84">
        <f>_xlfn.XLOOKUP(H40,'E Data_Inventory'!$H$3:$H$240,'E Data_Inventory'!N$3:N$240)</f>
        <v>20</v>
      </c>
      <c r="O40" s="84">
        <v>20</v>
      </c>
      <c r="P40" s="20">
        <f>L40+M40+N40+O40</f>
        <v>80</v>
      </c>
      <c r="Q40" s="15" t="str">
        <f>IF(P40&gt;=80,"✅ High Quality",IF(P40&gt;=60,"🟡 Acceptable",IF(P40&gt;=40,"⚠️ Use with Caution","🔴 Insufficient")))</f>
        <v>✅ High Quality</v>
      </c>
      <c r="R40" s="21"/>
    </row>
    <row r="41" spans="1:18" ht="21.75" customHeight="1" x14ac:dyDescent="0.2">
      <c r="A41" s="25"/>
      <c r="B41" s="25" t="s">
        <v>296</v>
      </c>
      <c r="C41" s="14" t="s">
        <v>304</v>
      </c>
      <c r="D41" s="15" t="s">
        <v>531</v>
      </c>
      <c r="E41" s="93">
        <v>347459</v>
      </c>
      <c r="F41" s="84" t="s">
        <v>526</v>
      </c>
      <c r="G41" s="24" t="s">
        <v>532</v>
      </c>
      <c r="H41" s="18">
        <v>2021</v>
      </c>
      <c r="I41" s="19" t="s">
        <v>282</v>
      </c>
      <c r="J41" s="19" t="s">
        <v>568</v>
      </c>
      <c r="K41" s="89"/>
      <c r="L41" s="84">
        <v>25</v>
      </c>
      <c r="M41" s="84">
        <v>15</v>
      </c>
      <c r="N41" s="84">
        <f>_xlfn.XLOOKUP(H41,'E Data_Inventory'!$H$3:$H$240,'E Data_Inventory'!N$3:N$240)</f>
        <v>5</v>
      </c>
      <c r="O41" s="84">
        <v>20</v>
      </c>
      <c r="P41" s="20">
        <f>L41+M41+N41+O41</f>
        <v>65</v>
      </c>
      <c r="Q41" s="15" t="str">
        <f>IF(P41&gt;=80,"✅ High Quality",IF(P41&gt;=60,"🟡 Acceptable",IF(P41&gt;=40,"⚠️ Use with Caution","🔴 Insufficient")))</f>
        <v>🟡 Acceptable</v>
      </c>
      <c r="R41" s="21"/>
    </row>
    <row r="42" spans="1:18" ht="21.75" customHeight="1" x14ac:dyDescent="0.2">
      <c r="A42" s="25"/>
      <c r="B42" s="25" t="s">
        <v>296</v>
      </c>
      <c r="C42" s="14" t="s">
        <v>304</v>
      </c>
      <c r="D42" s="15" t="s">
        <v>531</v>
      </c>
      <c r="E42" s="93">
        <v>255410</v>
      </c>
      <c r="F42" s="84" t="s">
        <v>526</v>
      </c>
      <c r="G42" s="24" t="s">
        <v>532</v>
      </c>
      <c r="H42" s="18">
        <v>2020</v>
      </c>
      <c r="I42" s="19" t="s">
        <v>282</v>
      </c>
      <c r="J42" s="19" t="s">
        <v>567</v>
      </c>
      <c r="K42" s="89"/>
      <c r="L42" s="84">
        <v>25</v>
      </c>
      <c r="M42" s="84">
        <v>15</v>
      </c>
      <c r="N42" s="84">
        <f>_xlfn.XLOOKUP(H42,'E Data_Inventory'!$H$3:$H$240,'E Data_Inventory'!N$3:N$240)</f>
        <v>5</v>
      </c>
      <c r="O42" s="84">
        <v>20</v>
      </c>
      <c r="P42" s="20">
        <f>L42+M42+N42+O42</f>
        <v>65</v>
      </c>
      <c r="Q42" s="15" t="str">
        <f>IF(P42&gt;=80,"✅ High Quality",IF(P42&gt;=60,"🟡 Acceptable",IF(P42&gt;=40,"⚠️ Use with Caution","🔴 Insufficient")))</f>
        <v>🟡 Acceptable</v>
      </c>
      <c r="R42" s="21"/>
    </row>
    <row r="43" spans="1:18" ht="21.75" hidden="1" customHeight="1" x14ac:dyDescent="0.2">
      <c r="A43" s="25"/>
      <c r="B43" s="25" t="s">
        <v>296</v>
      </c>
      <c r="C43" s="14" t="s">
        <v>304</v>
      </c>
      <c r="D43" s="15" t="s">
        <v>531</v>
      </c>
      <c r="E43" s="93" t="s">
        <v>561</v>
      </c>
      <c r="F43" s="84" t="s">
        <v>526</v>
      </c>
      <c r="G43" s="24" t="s">
        <v>532</v>
      </c>
      <c r="H43" s="18">
        <v>2019</v>
      </c>
      <c r="I43" s="19" t="s">
        <v>282</v>
      </c>
      <c r="J43" s="19" t="s">
        <v>567</v>
      </c>
      <c r="K43" s="89"/>
      <c r="L43" s="84">
        <v>25</v>
      </c>
      <c r="M43" s="84">
        <v>25</v>
      </c>
      <c r="N43" s="84">
        <v>25</v>
      </c>
      <c r="O43" s="84">
        <v>15</v>
      </c>
      <c r="P43" s="20">
        <f>L43+M43+N43+O43</f>
        <v>90</v>
      </c>
      <c r="Q43" s="15" t="str">
        <f>IF(P43&gt;=80,"✅ High Quality",IF(P43&gt;=60,"🟡 Acceptable",IF(P43&gt;=40,"⚠️ Use with Caution","🔴 Insufficient")))</f>
        <v>✅ High Quality</v>
      </c>
      <c r="R43" s="21"/>
    </row>
    <row r="44" spans="1:18" ht="21.75" customHeight="1" x14ac:dyDescent="0.2">
      <c r="A44" s="25"/>
      <c r="B44" s="25" t="s">
        <v>296</v>
      </c>
      <c r="C44" s="22" t="s">
        <v>297</v>
      </c>
      <c r="D44" s="23" t="s">
        <v>533</v>
      </c>
      <c r="E44" s="91">
        <v>4919</v>
      </c>
      <c r="F44" s="84" t="s">
        <v>296</v>
      </c>
      <c r="G44" s="17" t="s">
        <v>549</v>
      </c>
      <c r="H44" s="18">
        <v>2021</v>
      </c>
      <c r="I44" s="19" t="s">
        <v>282</v>
      </c>
      <c r="J44" s="19" t="s">
        <v>564</v>
      </c>
      <c r="K44" s="89"/>
      <c r="L44" s="84">
        <v>25</v>
      </c>
      <c r="M44" s="84">
        <v>15</v>
      </c>
      <c r="N44" s="84">
        <f>_xlfn.XLOOKUP(H44,'E Data_Inventory'!$H$3:$H$240,'E Data_Inventory'!N$3:N$240)</f>
        <v>5</v>
      </c>
      <c r="O44" s="84">
        <v>20</v>
      </c>
      <c r="P44" s="20">
        <f>L44+M44+N44+O44</f>
        <v>65</v>
      </c>
      <c r="Q44" s="23" t="str">
        <f>IF(P44&gt;=80,"✅ High Quality",IF(P44&gt;=60,"🟡 Acceptable",IF(P44&gt;=40,"⚠️ Use with Caution","🔴 Insufficient")))</f>
        <v>🟡 Acceptable</v>
      </c>
      <c r="R44" s="21"/>
    </row>
    <row r="45" spans="1:18" ht="21.75" customHeight="1" x14ac:dyDescent="0.2">
      <c r="A45" s="25"/>
      <c r="B45" s="25" t="s">
        <v>296</v>
      </c>
      <c r="C45" s="14" t="s">
        <v>299</v>
      </c>
      <c r="D45" s="15" t="s">
        <v>301</v>
      </c>
      <c r="E45" s="95">
        <v>0.22</v>
      </c>
      <c r="F45" s="84" t="s">
        <v>296</v>
      </c>
      <c r="G45" s="24" t="s">
        <v>99</v>
      </c>
      <c r="H45" s="18">
        <v>2021</v>
      </c>
      <c r="I45" s="19" t="s">
        <v>282</v>
      </c>
      <c r="J45" s="19" t="s">
        <v>566</v>
      </c>
      <c r="K45" s="89"/>
      <c r="L45" s="84">
        <v>25</v>
      </c>
      <c r="M45" s="84">
        <v>15</v>
      </c>
      <c r="N45" s="84">
        <f>_xlfn.XLOOKUP(H45,'E Data_Inventory'!$H$3:$H$240,'E Data_Inventory'!N$3:N$240)</f>
        <v>5</v>
      </c>
      <c r="O45" s="84">
        <v>20</v>
      </c>
      <c r="P45" s="20">
        <f>L45+M45+N45+O45</f>
        <v>65</v>
      </c>
      <c r="Q45" s="15" t="str">
        <f>IF(P45&gt;=80,"✅ High Quality",IF(P45&gt;=60,"🟡 Acceptable",IF(P45&gt;=40,"⚠️ Use with Caution","🔴 Insufficient")))</f>
        <v>🟡 Acceptable</v>
      </c>
      <c r="R45" s="21"/>
    </row>
    <row r="46" spans="1:18" ht="21.75" customHeight="1" x14ac:dyDescent="0.2">
      <c r="A46" s="25"/>
      <c r="B46" s="25" t="s">
        <v>296</v>
      </c>
      <c r="C46" s="22" t="s">
        <v>299</v>
      </c>
      <c r="D46" s="23" t="s">
        <v>300</v>
      </c>
      <c r="E46" s="96">
        <v>9609</v>
      </c>
      <c r="F46" s="84" t="s">
        <v>296</v>
      </c>
      <c r="G46" s="17" t="s">
        <v>549</v>
      </c>
      <c r="H46" s="18">
        <v>2021</v>
      </c>
      <c r="I46" s="19" t="s">
        <v>282</v>
      </c>
      <c r="J46" s="19" t="s">
        <v>564</v>
      </c>
      <c r="K46" s="89"/>
      <c r="L46" s="84">
        <v>25</v>
      </c>
      <c r="M46" s="84">
        <v>15</v>
      </c>
      <c r="N46" s="84">
        <f>_xlfn.XLOOKUP(H46,'E Data_Inventory'!$H$3:$H$240,'E Data_Inventory'!N$3:N$240)</f>
        <v>5</v>
      </c>
      <c r="O46" s="84">
        <v>20</v>
      </c>
      <c r="P46" s="20">
        <f>L46+M46+N46+O46</f>
        <v>65</v>
      </c>
      <c r="Q46" s="23" t="str">
        <f>IF(P46&gt;=80,"✅ High Quality",IF(P46&gt;=60,"🟡 Acceptable",IF(P46&gt;=40,"⚠️ Use with Caution","🔴 Insufficient")))</f>
        <v>🟡 Acceptable</v>
      </c>
      <c r="R46" s="21"/>
    </row>
    <row r="47" spans="1:18" ht="21.75" customHeight="1" x14ac:dyDescent="0.2">
      <c r="A47" s="25"/>
      <c r="B47" s="25" t="s">
        <v>296</v>
      </c>
      <c r="C47" s="14" t="s">
        <v>304</v>
      </c>
      <c r="D47" s="15" t="s">
        <v>183</v>
      </c>
      <c r="E47" s="91">
        <v>21</v>
      </c>
      <c r="F47" s="84" t="s">
        <v>296</v>
      </c>
      <c r="G47" s="24" t="s">
        <v>305</v>
      </c>
      <c r="H47" s="18">
        <v>2022</v>
      </c>
      <c r="I47" s="19" t="s">
        <v>282</v>
      </c>
      <c r="J47" s="19" t="s">
        <v>284</v>
      </c>
      <c r="K47" s="89"/>
      <c r="L47" s="84">
        <v>25</v>
      </c>
      <c r="M47" s="84">
        <v>15</v>
      </c>
      <c r="N47" s="84">
        <f>_xlfn.XLOOKUP(H47,'E Data_Inventory'!$H$3:$H$240,'E Data_Inventory'!N$3:N$240)</f>
        <v>20</v>
      </c>
      <c r="O47" s="84">
        <v>20</v>
      </c>
      <c r="P47" s="20">
        <f>L47+M47+N47+O47</f>
        <v>80</v>
      </c>
      <c r="Q47" s="15" t="str">
        <f>IF(P47&gt;=80,"✅ High Quality",IF(P47&gt;=60,"🟡 Acceptable",IF(P47&gt;=40,"⚠️ Use with Caution","🔴 Insufficient")))</f>
        <v>✅ High Quality</v>
      </c>
      <c r="R47" s="21"/>
    </row>
    <row r="48" spans="1:18" ht="21.75" customHeight="1" x14ac:dyDescent="0.2">
      <c r="A48" s="25"/>
      <c r="B48" s="25" t="s">
        <v>296</v>
      </c>
      <c r="C48" s="14" t="s">
        <v>297</v>
      </c>
      <c r="D48" s="15" t="s">
        <v>142</v>
      </c>
      <c r="E48" s="93">
        <v>48058</v>
      </c>
      <c r="F48" s="84" t="s">
        <v>296</v>
      </c>
      <c r="G48" s="24" t="s">
        <v>298</v>
      </c>
      <c r="H48" s="18">
        <v>2022</v>
      </c>
      <c r="I48" s="19" t="s">
        <v>282</v>
      </c>
      <c r="J48" s="19" t="s">
        <v>564</v>
      </c>
      <c r="K48" s="89"/>
      <c r="L48" s="84">
        <v>25</v>
      </c>
      <c r="M48" s="84">
        <v>15</v>
      </c>
      <c r="N48" s="84">
        <f>_xlfn.XLOOKUP(H48,'E Data_Inventory'!$H$3:$H$240,'E Data_Inventory'!N$3:N$240)</f>
        <v>20</v>
      </c>
      <c r="O48" s="84">
        <v>20</v>
      </c>
      <c r="P48" s="20">
        <f>L48+M48+N48+O48</f>
        <v>80</v>
      </c>
      <c r="Q48" s="15" t="str">
        <f>IF(P48&gt;=80,"✅ High Quality",IF(P48&gt;=60,"🟡 Acceptable",IF(P48&gt;=40,"⚠️ Use with Caution","🔴 Insufficient")))</f>
        <v>✅ High Quality</v>
      </c>
      <c r="R48" s="21"/>
    </row>
    <row r="49" spans="1:18" ht="21.75" customHeight="1" x14ac:dyDescent="0.2">
      <c r="A49" s="25"/>
      <c r="B49" s="25" t="s">
        <v>296</v>
      </c>
      <c r="C49" s="14" t="s">
        <v>302</v>
      </c>
      <c r="D49" s="15" t="s">
        <v>169</v>
      </c>
      <c r="E49" s="91">
        <v>0.51</v>
      </c>
      <c r="F49" s="84" t="s">
        <v>296</v>
      </c>
      <c r="G49" s="24" t="s">
        <v>303</v>
      </c>
      <c r="H49" s="18">
        <v>2022</v>
      </c>
      <c r="I49" s="19" t="s">
        <v>282</v>
      </c>
      <c r="J49" s="19" t="s">
        <v>285</v>
      </c>
      <c r="K49" s="89"/>
      <c r="L49" s="84">
        <v>25</v>
      </c>
      <c r="M49" s="84">
        <v>15</v>
      </c>
      <c r="N49" s="84">
        <f>_xlfn.XLOOKUP(H49,'E Data_Inventory'!$H$3:$H$240,'E Data_Inventory'!N$3:N$240)</f>
        <v>20</v>
      </c>
      <c r="O49" s="84">
        <v>20</v>
      </c>
      <c r="P49" s="20">
        <f>L49+M49+N49+O49</f>
        <v>80</v>
      </c>
      <c r="Q49" s="15" t="str">
        <f>IF(P49&gt;=80,"✅ High Quality",IF(P49&gt;=60,"🟡 Acceptable",IF(P49&gt;=40,"⚠️ Use with Caution","🔴 Insufficient")))</f>
        <v>✅ High Quality</v>
      </c>
      <c r="R49" s="21"/>
    </row>
    <row r="50" spans="1:18" ht="21.75" customHeight="1" x14ac:dyDescent="0.2">
      <c r="A50" s="25"/>
      <c r="B50" s="25" t="s">
        <v>296</v>
      </c>
      <c r="C50" s="22" t="s">
        <v>297</v>
      </c>
      <c r="D50" s="23" t="s">
        <v>533</v>
      </c>
      <c r="E50" s="93">
        <v>15934</v>
      </c>
      <c r="F50" s="84" t="s">
        <v>526</v>
      </c>
      <c r="G50" s="17" t="s">
        <v>549</v>
      </c>
      <c r="H50" s="18">
        <v>2024</v>
      </c>
      <c r="I50" s="19" t="s">
        <v>282</v>
      </c>
      <c r="J50" s="19" t="s">
        <v>565</v>
      </c>
      <c r="K50" s="89"/>
      <c r="L50" s="84">
        <v>25</v>
      </c>
      <c r="M50" s="84">
        <v>15</v>
      </c>
      <c r="N50" s="84">
        <f>_xlfn.XLOOKUP(H50,'E Data_Inventory'!$H$3:$H$240,'E Data_Inventory'!N$3:N$240)</f>
        <v>25</v>
      </c>
      <c r="O50" s="84">
        <v>20</v>
      </c>
      <c r="P50" s="20">
        <f>L50+M50+N50+O50</f>
        <v>85</v>
      </c>
      <c r="Q50" s="23" t="str">
        <f>IF(P50&gt;=80,"✅ High Quality",IF(P50&gt;=60,"🟡 Acceptable",IF(P50&gt;=40,"⚠️ Use with Caution","🔴 Insufficient")))</f>
        <v>✅ High Quality</v>
      </c>
      <c r="R50" s="21"/>
    </row>
    <row r="51" spans="1:18" ht="21.75" customHeight="1" x14ac:dyDescent="0.2">
      <c r="A51" s="25"/>
      <c r="B51" s="25" t="s">
        <v>296</v>
      </c>
      <c r="C51" s="22" t="s">
        <v>297</v>
      </c>
      <c r="D51" s="23" t="s">
        <v>533</v>
      </c>
      <c r="E51" s="93">
        <v>17863</v>
      </c>
      <c r="F51" s="84" t="s">
        <v>526</v>
      </c>
      <c r="G51" s="17" t="s">
        <v>549</v>
      </c>
      <c r="H51" s="18">
        <v>2023</v>
      </c>
      <c r="I51" s="19" t="s">
        <v>282</v>
      </c>
      <c r="J51" s="19" t="s">
        <v>565</v>
      </c>
      <c r="K51" s="89"/>
      <c r="L51" s="84">
        <v>25</v>
      </c>
      <c r="M51" s="84">
        <v>15</v>
      </c>
      <c r="N51" s="84">
        <f>_xlfn.XLOOKUP(H51,'E Data_Inventory'!$H$3:$H$240,'E Data_Inventory'!N$3:N$240)</f>
        <v>25</v>
      </c>
      <c r="O51" s="84">
        <v>20</v>
      </c>
      <c r="P51" s="20">
        <f>L51+M51+N51+O51</f>
        <v>85</v>
      </c>
      <c r="Q51" s="23" t="str">
        <f>IF(P51&gt;=80,"✅ High Quality",IF(P51&gt;=60,"🟡 Acceptable",IF(P51&gt;=40,"⚠️ Use with Caution","🔴 Insufficient")))</f>
        <v>✅ High Quality</v>
      </c>
      <c r="R51" s="21"/>
    </row>
    <row r="52" spans="1:18" ht="21.75" customHeight="1" x14ac:dyDescent="0.2">
      <c r="A52" s="25"/>
      <c r="B52" s="25" t="s">
        <v>296</v>
      </c>
      <c r="C52" s="22" t="s">
        <v>297</v>
      </c>
      <c r="D52" s="23" t="s">
        <v>533</v>
      </c>
      <c r="E52" s="93">
        <v>14935</v>
      </c>
      <c r="F52" s="84" t="s">
        <v>526</v>
      </c>
      <c r="G52" s="17" t="s">
        <v>549</v>
      </c>
      <c r="H52" s="18">
        <v>2022</v>
      </c>
      <c r="I52" s="19" t="s">
        <v>282</v>
      </c>
      <c r="J52" s="19" t="s">
        <v>565</v>
      </c>
      <c r="K52" s="89"/>
      <c r="L52" s="84">
        <v>25</v>
      </c>
      <c r="M52" s="84">
        <v>15</v>
      </c>
      <c r="N52" s="84">
        <f>_xlfn.XLOOKUP(H52,'E Data_Inventory'!$H$3:$H$240,'E Data_Inventory'!N$3:N$240)</f>
        <v>20</v>
      </c>
      <c r="O52" s="84">
        <v>20</v>
      </c>
      <c r="P52" s="20">
        <f>L52+M52+N52+O52</f>
        <v>80</v>
      </c>
      <c r="Q52" s="23" t="str">
        <f>IF(P52&gt;=80,"✅ High Quality",IF(P52&gt;=60,"🟡 Acceptable",IF(P52&gt;=40,"⚠️ Use with Caution","🔴 Insufficient")))</f>
        <v>✅ High Quality</v>
      </c>
      <c r="R52" s="21"/>
    </row>
    <row r="53" spans="1:18" ht="21.75" customHeight="1" x14ac:dyDescent="0.2">
      <c r="A53" s="25"/>
      <c r="B53" s="25" t="s">
        <v>296</v>
      </c>
      <c r="C53" s="22" t="s">
        <v>297</v>
      </c>
      <c r="D53" s="23" t="s">
        <v>533</v>
      </c>
      <c r="E53" s="93">
        <v>11753</v>
      </c>
      <c r="F53" s="84" t="s">
        <v>526</v>
      </c>
      <c r="G53" s="17" t="s">
        <v>549</v>
      </c>
      <c r="H53" s="18">
        <v>2021</v>
      </c>
      <c r="I53" s="19" t="s">
        <v>282</v>
      </c>
      <c r="J53" s="19" t="s">
        <v>564</v>
      </c>
      <c r="K53" s="89"/>
      <c r="L53" s="84">
        <v>25</v>
      </c>
      <c r="M53" s="84">
        <v>15</v>
      </c>
      <c r="N53" s="84">
        <f>_xlfn.XLOOKUP(H53,'E Data_Inventory'!$H$3:$H$240,'E Data_Inventory'!N$3:N$240)</f>
        <v>5</v>
      </c>
      <c r="O53" s="84">
        <v>20</v>
      </c>
      <c r="P53" s="20">
        <f>L53+M53+N53+O53</f>
        <v>65</v>
      </c>
      <c r="Q53" s="23" t="str">
        <f>IF(P53&gt;=80,"✅ High Quality",IF(P53&gt;=60,"🟡 Acceptable",IF(P53&gt;=40,"⚠️ Use with Caution","🔴 Insufficient")))</f>
        <v>🟡 Acceptable</v>
      </c>
      <c r="R53" s="21"/>
    </row>
    <row r="54" spans="1:18" ht="21.75" hidden="1" customHeight="1" x14ac:dyDescent="0.2">
      <c r="A54" s="25"/>
      <c r="B54" s="25" t="s">
        <v>296</v>
      </c>
      <c r="C54" s="22" t="s">
        <v>297</v>
      </c>
      <c r="D54" s="23" t="s">
        <v>533</v>
      </c>
      <c r="E54" s="93" t="s">
        <v>561</v>
      </c>
      <c r="F54" s="84" t="s">
        <v>526</v>
      </c>
      <c r="G54" s="17" t="s">
        <v>549</v>
      </c>
      <c r="H54" s="18">
        <v>2020</v>
      </c>
      <c r="I54" s="19" t="s">
        <v>282</v>
      </c>
      <c r="J54" s="19" t="s">
        <v>567</v>
      </c>
      <c r="K54" s="89"/>
      <c r="L54" s="84">
        <v>25</v>
      </c>
      <c r="M54" s="84">
        <v>25</v>
      </c>
      <c r="N54" s="84">
        <v>25</v>
      </c>
      <c r="O54" s="84">
        <v>15</v>
      </c>
      <c r="P54" s="20">
        <f>L54+M54+N54+O54</f>
        <v>90</v>
      </c>
      <c r="Q54" s="23" t="str">
        <f>IF(P54&gt;=80,"✅ High Quality",IF(P54&gt;=60,"🟡 Acceptable",IF(P54&gt;=40,"⚠️ Use with Caution","🔴 Insufficient")))</f>
        <v>✅ High Quality</v>
      </c>
      <c r="R54" s="21"/>
    </row>
    <row r="55" spans="1:18" ht="21.75" hidden="1" customHeight="1" x14ac:dyDescent="0.2">
      <c r="A55" s="25"/>
      <c r="B55" s="25" t="s">
        <v>296</v>
      </c>
      <c r="C55" s="22" t="s">
        <v>297</v>
      </c>
      <c r="D55" s="23" t="s">
        <v>533</v>
      </c>
      <c r="E55" s="93" t="s">
        <v>561</v>
      </c>
      <c r="F55" s="84" t="s">
        <v>526</v>
      </c>
      <c r="G55" s="17" t="s">
        <v>549</v>
      </c>
      <c r="H55" s="18">
        <v>2019</v>
      </c>
      <c r="I55" s="19" t="s">
        <v>282</v>
      </c>
      <c r="J55" s="19" t="s">
        <v>565</v>
      </c>
      <c r="K55" s="89"/>
      <c r="L55" s="84">
        <v>25</v>
      </c>
      <c r="M55" s="84">
        <v>25</v>
      </c>
      <c r="N55" s="84">
        <v>25</v>
      </c>
      <c r="O55" s="84">
        <v>15</v>
      </c>
      <c r="P55" s="20">
        <f>L55+M55+N55+O55</f>
        <v>90</v>
      </c>
      <c r="Q55" s="23" t="str">
        <f>IF(P55&gt;=80,"✅ High Quality",IF(P55&gt;=60,"🟡 Acceptable",IF(P55&gt;=40,"⚠️ Use with Caution","🔴 Insufficient")))</f>
        <v>✅ High Quality</v>
      </c>
      <c r="R55" s="21"/>
    </row>
    <row r="56" spans="1:18" ht="21.75" customHeight="1" x14ac:dyDescent="0.2">
      <c r="A56" s="25"/>
      <c r="B56" s="25" t="s">
        <v>296</v>
      </c>
      <c r="C56" s="14" t="s">
        <v>304</v>
      </c>
      <c r="D56" s="15" t="s">
        <v>531</v>
      </c>
      <c r="E56" s="93">
        <f>$E$25*$E$9</f>
        <v>39217.919999999998</v>
      </c>
      <c r="F56" s="84" t="s">
        <v>296</v>
      </c>
      <c r="G56" s="24" t="s">
        <v>532</v>
      </c>
      <c r="H56" s="18">
        <v>2022</v>
      </c>
      <c r="I56" s="19" t="s">
        <v>282</v>
      </c>
      <c r="J56" s="19" t="s">
        <v>568</v>
      </c>
      <c r="K56" s="89"/>
      <c r="L56" s="84">
        <v>25</v>
      </c>
      <c r="M56" s="84">
        <v>15</v>
      </c>
      <c r="N56" s="84">
        <f>_xlfn.XLOOKUP(H56,'E Data_Inventory'!$H$3:$H$240,'E Data_Inventory'!N$3:N$240)</f>
        <v>20</v>
      </c>
      <c r="O56" s="84">
        <v>20</v>
      </c>
      <c r="P56" s="20">
        <f>L56+M56+N56+O56</f>
        <v>80</v>
      </c>
      <c r="Q56" s="15" t="str">
        <f>IF(P56&gt;=80,"✅ High Quality",IF(P56&gt;=60,"🟡 Acceptable",IF(P56&gt;=40,"⚠️ Use with Caution","🔴 Insufficient")))</f>
        <v>✅ High Quality</v>
      </c>
      <c r="R56" s="21"/>
    </row>
    <row r="57" spans="1:18" ht="21.75" customHeight="1" x14ac:dyDescent="0.2">
      <c r="A57" s="25"/>
      <c r="B57" s="25" t="s">
        <v>296</v>
      </c>
      <c r="C57" s="22" t="s">
        <v>297</v>
      </c>
      <c r="D57" s="23" t="s">
        <v>533</v>
      </c>
      <c r="E57" s="91">
        <v>5421</v>
      </c>
      <c r="F57" s="84" t="s">
        <v>296</v>
      </c>
      <c r="G57" s="17" t="s">
        <v>549</v>
      </c>
      <c r="H57" s="18">
        <v>2022</v>
      </c>
      <c r="I57" s="19" t="s">
        <v>282</v>
      </c>
      <c r="J57" s="19" t="s">
        <v>564</v>
      </c>
      <c r="K57" s="89"/>
      <c r="L57" s="84">
        <v>25</v>
      </c>
      <c r="M57" s="84">
        <v>15</v>
      </c>
      <c r="N57" s="84">
        <f>_xlfn.XLOOKUP(H57,'E Data_Inventory'!$H$3:$H$240,'E Data_Inventory'!N$3:N$240)</f>
        <v>20</v>
      </c>
      <c r="O57" s="84">
        <v>20</v>
      </c>
      <c r="P57" s="20">
        <f>L57+M57+N57+O57</f>
        <v>80</v>
      </c>
      <c r="Q57" s="23" t="str">
        <f>IF(P57&gt;=80,"✅ High Quality",IF(P57&gt;=60,"🟡 Acceptable",IF(P57&gt;=40,"⚠️ Use with Caution","🔴 Insufficient")))</f>
        <v>✅ High Quality</v>
      </c>
      <c r="R57" s="21"/>
    </row>
    <row r="58" spans="1:18" ht="21.75" customHeight="1" x14ac:dyDescent="0.2">
      <c r="A58" s="25"/>
      <c r="B58" s="25" t="s">
        <v>296</v>
      </c>
      <c r="C58" s="14" t="s">
        <v>299</v>
      </c>
      <c r="D58" s="15" t="s">
        <v>301</v>
      </c>
      <c r="E58" s="95">
        <v>0.23499999999999999</v>
      </c>
      <c r="F58" s="84" t="s">
        <v>296</v>
      </c>
      <c r="G58" s="24" t="s">
        <v>99</v>
      </c>
      <c r="H58" s="18">
        <v>2022</v>
      </c>
      <c r="I58" s="19" t="s">
        <v>282</v>
      </c>
      <c r="J58" s="19" t="s">
        <v>284</v>
      </c>
      <c r="K58" s="89"/>
      <c r="L58" s="84">
        <v>25</v>
      </c>
      <c r="M58" s="84">
        <v>15</v>
      </c>
      <c r="N58" s="84">
        <f>_xlfn.XLOOKUP(H58,'E Data_Inventory'!$H$3:$H$240,'E Data_Inventory'!N$3:N$240)</f>
        <v>20</v>
      </c>
      <c r="O58" s="84">
        <v>20</v>
      </c>
      <c r="P58" s="20">
        <f>L58+M58+N58+O58</f>
        <v>80</v>
      </c>
      <c r="Q58" s="15" t="str">
        <f>IF(P58&gt;=80,"✅ High Quality",IF(P58&gt;=60,"🟡 Acceptable",IF(P58&gt;=40,"⚠️ Use with Caution","🔴 Insufficient")))</f>
        <v>✅ High Quality</v>
      </c>
      <c r="R58" s="21"/>
    </row>
    <row r="59" spans="1:18" ht="21.75" customHeight="1" x14ac:dyDescent="0.2">
      <c r="A59" s="25"/>
      <c r="B59" s="25" t="s">
        <v>296</v>
      </c>
      <c r="C59" s="22" t="s">
        <v>299</v>
      </c>
      <c r="D59" s="23" t="s">
        <v>300</v>
      </c>
      <c r="E59" s="96">
        <v>9611.6</v>
      </c>
      <c r="F59" s="84" t="s">
        <v>296</v>
      </c>
      <c r="G59" s="17" t="s">
        <v>549</v>
      </c>
      <c r="H59" s="18">
        <v>2022</v>
      </c>
      <c r="I59" s="19" t="s">
        <v>282</v>
      </c>
      <c r="J59" s="19" t="s">
        <v>285</v>
      </c>
      <c r="K59" s="89"/>
      <c r="L59" s="84">
        <v>25</v>
      </c>
      <c r="M59" s="84">
        <v>15</v>
      </c>
      <c r="N59" s="84">
        <f>_xlfn.XLOOKUP(H59,'E Data_Inventory'!$H$3:$H$240,'E Data_Inventory'!N$3:N$240)</f>
        <v>20</v>
      </c>
      <c r="O59" s="84">
        <v>20</v>
      </c>
      <c r="P59" s="20">
        <f>L59+M59+N59+O59</f>
        <v>80</v>
      </c>
      <c r="Q59" s="23" t="str">
        <f>IF(P59&gt;=80,"✅ High Quality",IF(P59&gt;=60,"🟡 Acceptable",IF(P59&gt;=40,"⚠️ Use with Caution","🔴 Insufficient")))</f>
        <v>✅ High Quality</v>
      </c>
      <c r="R59" s="21"/>
    </row>
    <row r="60" spans="1:18" ht="21.75" customHeight="1" x14ac:dyDescent="0.2">
      <c r="A60" s="25"/>
      <c r="B60" s="25" t="s">
        <v>296</v>
      </c>
      <c r="C60" s="14" t="s">
        <v>304</v>
      </c>
      <c r="D60" s="90" t="s">
        <v>183</v>
      </c>
      <c r="E60" s="91">
        <v>22</v>
      </c>
      <c r="F60" s="84" t="s">
        <v>296</v>
      </c>
      <c r="G60" s="24" t="s">
        <v>305</v>
      </c>
      <c r="H60" s="18">
        <v>2023</v>
      </c>
      <c r="I60" s="19" t="s">
        <v>282</v>
      </c>
      <c r="J60" s="19" t="s">
        <v>287</v>
      </c>
      <c r="K60" s="89"/>
      <c r="L60" s="84">
        <v>25</v>
      </c>
      <c r="M60" s="84">
        <v>15</v>
      </c>
      <c r="N60" s="84">
        <f>_xlfn.XLOOKUP(H60,'E Data_Inventory'!$H$3:$H$240,'E Data_Inventory'!N$3:N$240)</f>
        <v>25</v>
      </c>
      <c r="O60" s="84">
        <v>20</v>
      </c>
      <c r="P60" s="20">
        <f>L60+M60+N60+O60</f>
        <v>85</v>
      </c>
      <c r="Q60" s="35" t="str">
        <f>IF(P60&gt;=80,"✅ High Quality",IF(P60&gt;=60,"🟡 Acceptable",IF(P60&gt;=40,"⚠️ Use with Caution","🔴 Insufficient")))</f>
        <v>✅ High Quality</v>
      </c>
      <c r="R60" s="21"/>
    </row>
    <row r="61" spans="1:18" ht="21.75" customHeight="1" x14ac:dyDescent="0.2">
      <c r="A61" s="25"/>
      <c r="B61" s="25" t="s">
        <v>296</v>
      </c>
      <c r="C61" s="14" t="s">
        <v>297</v>
      </c>
      <c r="D61" s="15" t="s">
        <v>142</v>
      </c>
      <c r="E61" s="93">
        <v>46982</v>
      </c>
      <c r="F61" s="84" t="s">
        <v>296</v>
      </c>
      <c r="G61" s="24" t="s">
        <v>298</v>
      </c>
      <c r="H61" s="18">
        <v>2023</v>
      </c>
      <c r="I61" s="19" t="s">
        <v>282</v>
      </c>
      <c r="J61" s="19" t="s">
        <v>564</v>
      </c>
      <c r="K61" s="89"/>
      <c r="L61" s="84">
        <v>25</v>
      </c>
      <c r="M61" s="84">
        <v>15</v>
      </c>
      <c r="N61" s="84">
        <f>_xlfn.XLOOKUP(H61,'E Data_Inventory'!$H$3:$H$240,'E Data_Inventory'!N$3:N$240)</f>
        <v>25</v>
      </c>
      <c r="O61" s="84">
        <v>20</v>
      </c>
      <c r="P61" s="20">
        <f>L61+M61+N61+O61</f>
        <v>85</v>
      </c>
      <c r="Q61" s="15" t="str">
        <f>IF(P61&gt;=80,"✅ High Quality",IF(P61&gt;=60,"🟡 Acceptable",IF(P61&gt;=40,"⚠️ Use with Caution","🔴 Insufficient")))</f>
        <v>✅ High Quality</v>
      </c>
      <c r="R61" s="21"/>
    </row>
    <row r="62" spans="1:18" ht="21.75" customHeight="1" x14ac:dyDescent="0.2">
      <c r="A62" s="25"/>
      <c r="B62" s="25" t="s">
        <v>296</v>
      </c>
      <c r="C62" s="14" t="s">
        <v>302</v>
      </c>
      <c r="D62" s="15" t="s">
        <v>169</v>
      </c>
      <c r="E62" s="91">
        <v>0.53</v>
      </c>
      <c r="F62" s="84" t="s">
        <v>296</v>
      </c>
      <c r="G62" s="24" t="s">
        <v>303</v>
      </c>
      <c r="H62" s="18">
        <v>2023</v>
      </c>
      <c r="I62" s="19" t="s">
        <v>282</v>
      </c>
      <c r="J62" s="19" t="s">
        <v>564</v>
      </c>
      <c r="K62" s="89"/>
      <c r="L62" s="84">
        <v>25</v>
      </c>
      <c r="M62" s="84">
        <v>15</v>
      </c>
      <c r="N62" s="84">
        <f>_xlfn.XLOOKUP(H62,'E Data_Inventory'!$H$3:$H$240,'E Data_Inventory'!N$3:N$240)</f>
        <v>25</v>
      </c>
      <c r="O62" s="84">
        <v>20</v>
      </c>
      <c r="P62" s="20">
        <f>L62+M62+N62+O62</f>
        <v>85</v>
      </c>
      <c r="Q62" s="15" t="str">
        <f>IF(P62&gt;=80,"✅ High Quality",IF(P62&gt;=60,"🟡 Acceptable",IF(P62&gt;=40,"⚠️ Use with Caution","🔴 Insufficient")))</f>
        <v>✅ High Quality</v>
      </c>
      <c r="R62" s="21"/>
    </row>
    <row r="63" spans="1:18" ht="21.75" hidden="1" customHeight="1" x14ac:dyDescent="0.2">
      <c r="A63" s="25"/>
      <c r="B63" s="25" t="s">
        <v>296</v>
      </c>
      <c r="C63" s="14" t="s">
        <v>299</v>
      </c>
      <c r="D63" s="15" t="s">
        <v>301</v>
      </c>
      <c r="E63" s="93"/>
      <c r="F63" s="84" t="s">
        <v>526</v>
      </c>
      <c r="G63" s="24" t="s">
        <v>99</v>
      </c>
      <c r="H63" s="18">
        <v>2023</v>
      </c>
      <c r="I63" s="19" t="s">
        <v>282</v>
      </c>
      <c r="J63" s="19" t="s">
        <v>284</v>
      </c>
      <c r="K63" s="89"/>
      <c r="L63" s="84">
        <v>25</v>
      </c>
      <c r="M63" s="84">
        <v>25</v>
      </c>
      <c r="N63" s="84">
        <v>25</v>
      </c>
      <c r="O63" s="84">
        <v>15</v>
      </c>
      <c r="P63" s="20">
        <f>L63+M63+N63+O63</f>
        <v>90</v>
      </c>
      <c r="Q63" s="15" t="str">
        <f>IF(P63&gt;=80,"✅ High Quality",IF(P63&gt;=60,"🟡 Acceptable",IF(P63&gt;=40,"⚠️ Use with Caution","🔴 Insufficient")))</f>
        <v>✅ High Quality</v>
      </c>
      <c r="R63" s="21"/>
    </row>
    <row r="64" spans="1:18" ht="21.75" customHeight="1" x14ac:dyDescent="0.2">
      <c r="A64" s="25"/>
      <c r="B64" s="25" t="s">
        <v>296</v>
      </c>
      <c r="C64" s="14" t="s">
        <v>304</v>
      </c>
      <c r="D64" s="15" t="s">
        <v>531</v>
      </c>
      <c r="E64" s="93">
        <f>$E$23*$E$7</f>
        <v>693555</v>
      </c>
      <c r="F64" s="84" t="s">
        <v>296</v>
      </c>
      <c r="G64" s="24" t="s">
        <v>532</v>
      </c>
      <c r="H64" s="18">
        <v>2023</v>
      </c>
      <c r="I64" s="19" t="s">
        <v>282</v>
      </c>
      <c r="J64" s="19" t="s">
        <v>285</v>
      </c>
      <c r="K64" s="89"/>
      <c r="L64" s="84">
        <v>25</v>
      </c>
      <c r="M64" s="84">
        <v>15</v>
      </c>
      <c r="N64" s="84">
        <f>_xlfn.XLOOKUP(H64,'E Data_Inventory'!$H$3:$H$240,'E Data_Inventory'!N$3:N$240)</f>
        <v>25</v>
      </c>
      <c r="O64" s="84">
        <v>20</v>
      </c>
      <c r="P64" s="20">
        <f>L64+M64+N64+O64</f>
        <v>85</v>
      </c>
      <c r="Q64" s="15" t="str">
        <f>IF(P64&gt;=80,"✅ High Quality",IF(P64&gt;=60,"🟡 Acceptable",IF(P64&gt;=40,"⚠️ Use with Caution","🔴 Insufficient")))</f>
        <v>✅ High Quality</v>
      </c>
      <c r="R64" s="21"/>
    </row>
    <row r="65" spans="1:18" ht="21.75" hidden="1" customHeight="1" x14ac:dyDescent="0.2">
      <c r="A65" s="25"/>
      <c r="B65" s="25" t="s">
        <v>296</v>
      </c>
      <c r="C65" s="14" t="s">
        <v>299</v>
      </c>
      <c r="D65" s="15" t="s">
        <v>301</v>
      </c>
      <c r="E65" s="93"/>
      <c r="F65" s="84" t="s">
        <v>526</v>
      </c>
      <c r="G65" s="24" t="s">
        <v>99</v>
      </c>
      <c r="H65" s="18">
        <v>2022</v>
      </c>
      <c r="I65" s="19" t="s">
        <v>282</v>
      </c>
      <c r="J65" s="19" t="s">
        <v>285</v>
      </c>
      <c r="K65" s="89"/>
      <c r="L65" s="84">
        <v>25</v>
      </c>
      <c r="M65" s="84">
        <v>25</v>
      </c>
      <c r="N65" s="84">
        <v>25</v>
      </c>
      <c r="O65" s="84">
        <v>15</v>
      </c>
      <c r="P65" s="20">
        <f>L65+M65+N65+O65</f>
        <v>90</v>
      </c>
      <c r="Q65" s="15" t="str">
        <f>IF(P65&gt;=80,"✅ High Quality",IF(P65&gt;=60,"🟡 Acceptable",IF(P65&gt;=40,"⚠️ Use with Caution","🔴 Insufficient")))</f>
        <v>✅ High Quality</v>
      </c>
      <c r="R65" s="21"/>
    </row>
    <row r="66" spans="1:18" ht="21.75" customHeight="1" x14ac:dyDescent="0.2">
      <c r="A66" s="25"/>
      <c r="B66" s="25" t="s">
        <v>296</v>
      </c>
      <c r="C66" s="22" t="s">
        <v>297</v>
      </c>
      <c r="D66" s="23" t="s">
        <v>533</v>
      </c>
      <c r="E66" s="91">
        <v>5221</v>
      </c>
      <c r="F66" s="84" t="s">
        <v>296</v>
      </c>
      <c r="G66" s="17" t="s">
        <v>549</v>
      </c>
      <c r="H66" s="18">
        <v>2023</v>
      </c>
      <c r="I66" s="19" t="s">
        <v>282</v>
      </c>
      <c r="J66" s="19" t="s">
        <v>286</v>
      </c>
      <c r="K66" s="89"/>
      <c r="L66" s="84">
        <v>25</v>
      </c>
      <c r="M66" s="84">
        <v>15</v>
      </c>
      <c r="N66" s="84">
        <f>_xlfn.XLOOKUP(H66,'E Data_Inventory'!$H$3:$H$240,'E Data_Inventory'!N$3:N$240)</f>
        <v>25</v>
      </c>
      <c r="O66" s="84">
        <v>20</v>
      </c>
      <c r="P66" s="20">
        <f>L66+M66+N66+O66</f>
        <v>85</v>
      </c>
      <c r="Q66" s="23" t="str">
        <f>IF(P66&gt;=80,"✅ High Quality",IF(P66&gt;=60,"🟡 Acceptable",IF(P66&gt;=40,"⚠️ Use with Caution","🔴 Insufficient")))</f>
        <v>✅ High Quality</v>
      </c>
      <c r="R66" s="21"/>
    </row>
    <row r="67" spans="1:18" ht="21.75" hidden="1" customHeight="1" x14ac:dyDescent="0.2">
      <c r="A67" s="25"/>
      <c r="B67" s="25" t="s">
        <v>296</v>
      </c>
      <c r="C67" s="14" t="s">
        <v>299</v>
      </c>
      <c r="D67" s="15" t="s">
        <v>301</v>
      </c>
      <c r="E67" s="93"/>
      <c r="F67" s="84" t="s">
        <v>526</v>
      </c>
      <c r="G67" s="24" t="s">
        <v>99</v>
      </c>
      <c r="H67" s="18">
        <v>2021</v>
      </c>
      <c r="I67" s="19" t="s">
        <v>282</v>
      </c>
      <c r="J67" s="19" t="s">
        <v>285</v>
      </c>
      <c r="K67" s="89"/>
      <c r="L67" s="84">
        <v>25</v>
      </c>
      <c r="M67" s="84">
        <v>25</v>
      </c>
      <c r="N67" s="84">
        <v>25</v>
      </c>
      <c r="O67" s="84">
        <v>15</v>
      </c>
      <c r="P67" s="20">
        <f>L67+M67+N67+O67</f>
        <v>90</v>
      </c>
      <c r="Q67" s="15" t="str">
        <f>IF(P67&gt;=80,"✅ High Quality",IF(P67&gt;=60,"🟡 Acceptable",IF(P67&gt;=40,"⚠️ Use with Caution","🔴 Insufficient")))</f>
        <v>✅ High Quality</v>
      </c>
      <c r="R67" s="21"/>
    </row>
    <row r="68" spans="1:18" ht="21.75" customHeight="1" x14ac:dyDescent="0.2">
      <c r="A68" s="25"/>
      <c r="B68" s="25" t="s">
        <v>296</v>
      </c>
      <c r="C68" s="14" t="s">
        <v>299</v>
      </c>
      <c r="D68" s="15" t="s">
        <v>301</v>
      </c>
      <c r="E68" s="95">
        <v>0.251</v>
      </c>
      <c r="F68" s="84" t="s">
        <v>296</v>
      </c>
      <c r="G68" s="24" t="s">
        <v>99</v>
      </c>
      <c r="H68" s="18">
        <v>2023</v>
      </c>
      <c r="I68" s="19" t="s">
        <v>282</v>
      </c>
      <c r="J68" s="19" t="s">
        <v>286</v>
      </c>
      <c r="K68" s="89"/>
      <c r="L68" s="84">
        <v>25</v>
      </c>
      <c r="M68" s="84">
        <v>15</v>
      </c>
      <c r="N68" s="84">
        <f>_xlfn.XLOOKUP(H68,'E Data_Inventory'!$H$3:$H$240,'E Data_Inventory'!N$3:N$240)</f>
        <v>25</v>
      </c>
      <c r="O68" s="84">
        <v>20</v>
      </c>
      <c r="P68" s="20">
        <f>L68+M68+N68+O68</f>
        <v>85</v>
      </c>
      <c r="Q68" s="15" t="str">
        <f>IF(P68&gt;=80,"✅ High Quality",IF(P68&gt;=60,"🟡 Acceptable",IF(P68&gt;=40,"⚠️ Use with Caution","🔴 Insufficient")))</f>
        <v>✅ High Quality</v>
      </c>
      <c r="R68" s="21"/>
    </row>
    <row r="69" spans="1:18" ht="21.75" hidden="1" customHeight="1" x14ac:dyDescent="0.2">
      <c r="A69" s="25"/>
      <c r="B69" s="25" t="s">
        <v>296</v>
      </c>
      <c r="C69" s="14" t="s">
        <v>299</v>
      </c>
      <c r="D69" s="15" t="s">
        <v>301</v>
      </c>
      <c r="E69" s="93"/>
      <c r="F69" s="84" t="s">
        <v>526</v>
      </c>
      <c r="G69" s="24" t="s">
        <v>99</v>
      </c>
      <c r="H69" s="18">
        <v>2020</v>
      </c>
      <c r="I69" s="19" t="s">
        <v>282</v>
      </c>
      <c r="J69" s="19" t="s">
        <v>564</v>
      </c>
      <c r="K69" s="89"/>
      <c r="L69" s="84">
        <v>25</v>
      </c>
      <c r="M69" s="84">
        <v>25</v>
      </c>
      <c r="N69" s="84">
        <v>25</v>
      </c>
      <c r="O69" s="84">
        <v>15</v>
      </c>
      <c r="P69" s="20">
        <f>L69+M69+N69+O69</f>
        <v>90</v>
      </c>
      <c r="Q69" s="15" t="str">
        <f>IF(P69&gt;=80,"✅ High Quality",IF(P69&gt;=60,"🟡 Acceptable",IF(P69&gt;=40,"⚠️ Use with Caution","🔴 Insufficient")))</f>
        <v>✅ High Quality</v>
      </c>
      <c r="R69" s="21"/>
    </row>
    <row r="70" spans="1:18" ht="21.75" customHeight="1" x14ac:dyDescent="0.2">
      <c r="A70" s="25"/>
      <c r="B70" s="25" t="s">
        <v>296</v>
      </c>
      <c r="C70" s="22" t="s">
        <v>299</v>
      </c>
      <c r="D70" s="23" t="s">
        <v>300</v>
      </c>
      <c r="E70" s="96">
        <v>9678.2919999999995</v>
      </c>
      <c r="F70" s="84" t="s">
        <v>296</v>
      </c>
      <c r="G70" s="17" t="s">
        <v>549</v>
      </c>
      <c r="H70" s="18">
        <v>2023</v>
      </c>
      <c r="I70" s="19" t="s">
        <v>282</v>
      </c>
      <c r="J70" s="19" t="s">
        <v>287</v>
      </c>
      <c r="K70" s="89"/>
      <c r="L70" s="84">
        <v>25</v>
      </c>
      <c r="M70" s="84">
        <v>15</v>
      </c>
      <c r="N70" s="84">
        <f>_xlfn.XLOOKUP(H70,'E Data_Inventory'!$H$3:$H$240,'E Data_Inventory'!N$3:N$240)</f>
        <v>25</v>
      </c>
      <c r="O70" s="84">
        <v>20</v>
      </c>
      <c r="P70" s="20">
        <f>L70+M70+N70+O70</f>
        <v>85</v>
      </c>
      <c r="Q70" s="23" t="str">
        <f>IF(P70&gt;=80,"✅ High Quality",IF(P70&gt;=60,"🟡 Acceptable",IF(P70&gt;=40,"⚠️ Use with Caution","🔴 Insufficient")))</f>
        <v>✅ High Quality</v>
      </c>
      <c r="R70" s="21"/>
    </row>
    <row r="71" spans="1:18" ht="21.75" customHeight="1" x14ac:dyDescent="0.2">
      <c r="A71" s="25"/>
      <c r="B71" s="25" t="s">
        <v>296</v>
      </c>
      <c r="C71" s="14" t="s">
        <v>304</v>
      </c>
      <c r="D71" s="15" t="s">
        <v>183</v>
      </c>
      <c r="E71" s="91">
        <v>24</v>
      </c>
      <c r="F71" s="84" t="s">
        <v>296</v>
      </c>
      <c r="G71" s="24" t="s">
        <v>305</v>
      </c>
      <c r="H71" s="18">
        <v>2024</v>
      </c>
      <c r="I71" s="19" t="s">
        <v>282</v>
      </c>
      <c r="J71" s="19" t="s">
        <v>284</v>
      </c>
      <c r="K71" s="89"/>
      <c r="L71" s="84">
        <v>25</v>
      </c>
      <c r="M71" s="84">
        <v>15</v>
      </c>
      <c r="N71" s="84">
        <f>_xlfn.XLOOKUP(H71,'E Data_Inventory'!$H$3:$H$240,'E Data_Inventory'!N$3:N$240)</f>
        <v>25</v>
      </c>
      <c r="O71" s="84">
        <v>20</v>
      </c>
      <c r="P71" s="20">
        <f>L71+M71+N71+O71</f>
        <v>85</v>
      </c>
      <c r="Q71" s="15" t="str">
        <f>IF(P71&gt;=80,"✅ High Quality",IF(P71&gt;=60,"🟡 Acceptable",IF(P71&gt;=40,"⚠️ Use with Caution","🔴 Insufficient")))</f>
        <v>✅ High Quality</v>
      </c>
      <c r="R71" s="21"/>
    </row>
    <row r="72" spans="1:18" ht="21.75" customHeight="1" x14ac:dyDescent="0.2">
      <c r="A72" s="25"/>
      <c r="B72" s="25" t="s">
        <v>296</v>
      </c>
      <c r="C72" s="22" t="s">
        <v>299</v>
      </c>
      <c r="D72" s="23" t="s">
        <v>300</v>
      </c>
      <c r="E72" s="93">
        <v>12352</v>
      </c>
      <c r="F72" s="84" t="s">
        <v>526</v>
      </c>
      <c r="G72" s="17" t="s">
        <v>549</v>
      </c>
      <c r="H72" s="18">
        <v>2024</v>
      </c>
      <c r="I72" s="19" t="s">
        <v>282</v>
      </c>
      <c r="J72" s="19" t="s">
        <v>285</v>
      </c>
      <c r="K72" s="89"/>
      <c r="L72" s="84">
        <v>25</v>
      </c>
      <c r="M72" s="84">
        <v>15</v>
      </c>
      <c r="N72" s="84">
        <f>_xlfn.XLOOKUP(H72,'E Data_Inventory'!$H$3:$H$240,'E Data_Inventory'!N$3:N$240)</f>
        <v>25</v>
      </c>
      <c r="O72" s="84">
        <v>20</v>
      </c>
      <c r="P72" s="20">
        <f>L72+M72+N72+O72</f>
        <v>85</v>
      </c>
      <c r="Q72" s="23" t="str">
        <f>IF(P72&gt;=80,"✅ High Quality",IF(P72&gt;=60,"🟡 Acceptable",IF(P72&gt;=40,"⚠️ Use with Caution","🔴 Insufficient")))</f>
        <v>✅ High Quality</v>
      </c>
      <c r="R72" s="21"/>
    </row>
    <row r="73" spans="1:18" ht="21.75" customHeight="1" x14ac:dyDescent="0.2">
      <c r="A73" s="25"/>
      <c r="B73" s="25" t="s">
        <v>296</v>
      </c>
      <c r="C73" s="14" t="s">
        <v>297</v>
      </c>
      <c r="D73" s="15" t="s">
        <v>142</v>
      </c>
      <c r="E73" s="93">
        <v>46674</v>
      </c>
      <c r="F73" s="84" t="s">
        <v>296</v>
      </c>
      <c r="G73" s="24" t="s">
        <v>298</v>
      </c>
      <c r="H73" s="18">
        <v>2024</v>
      </c>
      <c r="I73" s="19" t="s">
        <v>282</v>
      </c>
      <c r="J73" s="19" t="s">
        <v>284</v>
      </c>
      <c r="K73" s="89"/>
      <c r="L73" s="84">
        <v>25</v>
      </c>
      <c r="M73" s="84">
        <v>15</v>
      </c>
      <c r="N73" s="84">
        <f>_xlfn.XLOOKUP(H73,'E Data_Inventory'!$H$3:$H$240,'E Data_Inventory'!N$3:N$240)</f>
        <v>25</v>
      </c>
      <c r="O73" s="84">
        <v>20</v>
      </c>
      <c r="P73" s="20">
        <f>L73+M73+N73+O73</f>
        <v>85</v>
      </c>
      <c r="Q73" s="15" t="str">
        <f>IF(P73&gt;=80,"✅ High Quality",IF(P73&gt;=60,"🟡 Acceptable",IF(P73&gt;=40,"⚠️ Use with Caution","🔴 Insufficient")))</f>
        <v>✅ High Quality</v>
      </c>
      <c r="R73" s="21"/>
    </row>
    <row r="74" spans="1:18" ht="21.75" customHeight="1" x14ac:dyDescent="0.2">
      <c r="A74" s="25"/>
      <c r="B74" s="25" t="s">
        <v>296</v>
      </c>
      <c r="C74" s="22" t="s">
        <v>299</v>
      </c>
      <c r="D74" s="23" t="s">
        <v>300</v>
      </c>
      <c r="E74" s="93">
        <v>12735</v>
      </c>
      <c r="F74" s="84" t="s">
        <v>526</v>
      </c>
      <c r="G74" s="17" t="s">
        <v>549</v>
      </c>
      <c r="H74" s="18">
        <v>2023</v>
      </c>
      <c r="I74" s="19" t="s">
        <v>282</v>
      </c>
      <c r="J74" s="19" t="s">
        <v>284</v>
      </c>
      <c r="K74" s="89"/>
      <c r="L74" s="84">
        <v>25</v>
      </c>
      <c r="M74" s="84">
        <v>15</v>
      </c>
      <c r="N74" s="84">
        <f>_xlfn.XLOOKUP(H74,'E Data_Inventory'!$H$3:$H$240,'E Data_Inventory'!N$3:N$240)</f>
        <v>25</v>
      </c>
      <c r="O74" s="84">
        <v>20</v>
      </c>
      <c r="P74" s="20">
        <f>L74+M74+N74+O74</f>
        <v>85</v>
      </c>
      <c r="Q74" s="23" t="str">
        <f>IF(P74&gt;=80,"✅ High Quality",IF(P74&gt;=60,"🟡 Acceptable",IF(P74&gt;=40,"⚠️ Use with Caution","🔴 Insufficient")))</f>
        <v>✅ High Quality</v>
      </c>
      <c r="R74" s="21"/>
    </row>
    <row r="75" spans="1:18" ht="21.75" customHeight="1" x14ac:dyDescent="0.2">
      <c r="A75" s="25"/>
      <c r="B75" s="25" t="s">
        <v>296</v>
      </c>
      <c r="C75" s="14" t="s">
        <v>302</v>
      </c>
      <c r="D75" s="15" t="s">
        <v>169</v>
      </c>
      <c r="E75" s="91">
        <v>0.46</v>
      </c>
      <c r="F75" s="84" t="s">
        <v>296</v>
      </c>
      <c r="G75" s="24" t="s">
        <v>303</v>
      </c>
      <c r="H75" s="18">
        <v>2024</v>
      </c>
      <c r="I75" s="19" t="s">
        <v>282</v>
      </c>
      <c r="J75" s="19" t="s">
        <v>564</v>
      </c>
      <c r="K75" s="89"/>
      <c r="L75" s="84">
        <v>25</v>
      </c>
      <c r="M75" s="84">
        <v>15</v>
      </c>
      <c r="N75" s="84">
        <f>_xlfn.XLOOKUP(H75,'E Data_Inventory'!$H$3:$H$240,'E Data_Inventory'!N$3:N$240)</f>
        <v>25</v>
      </c>
      <c r="O75" s="84">
        <v>20</v>
      </c>
      <c r="P75" s="20">
        <f>L75+M75+N75+O75</f>
        <v>85</v>
      </c>
      <c r="Q75" s="15" t="str">
        <f>IF(P75&gt;=80,"✅ High Quality",IF(P75&gt;=60,"🟡 Acceptable",IF(P75&gt;=40,"⚠️ Use with Caution","🔴 Insufficient")))</f>
        <v>✅ High Quality</v>
      </c>
      <c r="R75" s="21"/>
    </row>
    <row r="76" spans="1:18" ht="21.75" customHeight="1" x14ac:dyDescent="0.2">
      <c r="A76" s="25"/>
      <c r="B76" s="25" t="s">
        <v>296</v>
      </c>
      <c r="C76" s="22" t="s">
        <v>299</v>
      </c>
      <c r="D76" s="23" t="s">
        <v>300</v>
      </c>
      <c r="E76" s="93">
        <v>11059</v>
      </c>
      <c r="F76" s="84" t="s">
        <v>526</v>
      </c>
      <c r="G76" s="17" t="s">
        <v>549</v>
      </c>
      <c r="H76" s="18">
        <v>2022</v>
      </c>
      <c r="I76" s="19" t="s">
        <v>282</v>
      </c>
      <c r="J76" s="19" t="s">
        <v>564</v>
      </c>
      <c r="K76" s="89"/>
      <c r="L76" s="84">
        <v>25</v>
      </c>
      <c r="M76" s="84">
        <v>15</v>
      </c>
      <c r="N76" s="84">
        <f>_xlfn.XLOOKUP(H76,'E Data_Inventory'!$H$3:$H$240,'E Data_Inventory'!N$3:N$240)</f>
        <v>20</v>
      </c>
      <c r="O76" s="84">
        <v>20</v>
      </c>
      <c r="P76" s="20">
        <f>L76+M76+N76+O76</f>
        <v>80</v>
      </c>
      <c r="Q76" s="23" t="str">
        <f>IF(P76&gt;=80,"✅ High Quality",IF(P76&gt;=60,"🟡 Acceptable",IF(P76&gt;=40,"⚠️ Use with Caution","🔴 Insufficient")))</f>
        <v>✅ High Quality</v>
      </c>
      <c r="R76" s="21"/>
    </row>
    <row r="77" spans="1:18" ht="21.75" customHeight="1" x14ac:dyDescent="0.2">
      <c r="A77" s="25"/>
      <c r="B77" s="25" t="s">
        <v>296</v>
      </c>
      <c r="C77" s="14" t="s">
        <v>304</v>
      </c>
      <c r="D77" s="15" t="s">
        <v>531</v>
      </c>
      <c r="E77" s="93">
        <f>$E$21*$E$5</f>
        <v>193270.66</v>
      </c>
      <c r="F77" s="84" t="s">
        <v>296</v>
      </c>
      <c r="G77" s="24" t="s">
        <v>532</v>
      </c>
      <c r="H77" s="18">
        <v>2024</v>
      </c>
      <c r="I77" s="19" t="s">
        <v>282</v>
      </c>
      <c r="J77" s="19" t="s">
        <v>286</v>
      </c>
      <c r="K77" s="89"/>
      <c r="L77" s="84">
        <v>25</v>
      </c>
      <c r="M77" s="84">
        <v>15</v>
      </c>
      <c r="N77" s="84">
        <f>_xlfn.XLOOKUP(H77,'E Data_Inventory'!$H$3:$H$240,'E Data_Inventory'!N$3:N$240)</f>
        <v>25</v>
      </c>
      <c r="O77" s="84">
        <v>20</v>
      </c>
      <c r="P77" s="20">
        <f>L77+M77+N77+O77</f>
        <v>85</v>
      </c>
      <c r="Q77" s="15" t="str">
        <f>IF(P77&gt;=80,"✅ High Quality",IF(P77&gt;=60,"🟡 Acceptable",IF(P77&gt;=40,"⚠️ Use with Caution","🔴 Insufficient")))</f>
        <v>✅ High Quality</v>
      </c>
      <c r="R77" s="21"/>
    </row>
    <row r="78" spans="1:18" ht="21.75" customHeight="1" x14ac:dyDescent="0.2">
      <c r="A78" s="25"/>
      <c r="B78" s="25" t="s">
        <v>296</v>
      </c>
      <c r="C78" s="22" t="s">
        <v>299</v>
      </c>
      <c r="D78" s="23" t="s">
        <v>300</v>
      </c>
      <c r="E78" s="93">
        <v>10525</v>
      </c>
      <c r="F78" s="84" t="s">
        <v>526</v>
      </c>
      <c r="G78" s="17" t="s">
        <v>549</v>
      </c>
      <c r="H78" s="18">
        <v>2021</v>
      </c>
      <c r="I78" s="19" t="s">
        <v>282</v>
      </c>
      <c r="J78" s="19" t="s">
        <v>564</v>
      </c>
      <c r="K78" s="89"/>
      <c r="L78" s="84">
        <v>25</v>
      </c>
      <c r="M78" s="84">
        <v>15</v>
      </c>
      <c r="N78" s="84">
        <f>_xlfn.XLOOKUP(H78,'E Data_Inventory'!$H$3:$H$240,'E Data_Inventory'!N$3:N$240)</f>
        <v>5</v>
      </c>
      <c r="O78" s="84">
        <v>20</v>
      </c>
      <c r="P78" s="20">
        <f>L78+M78+N78+O78</f>
        <v>65</v>
      </c>
      <c r="Q78" s="23" t="str">
        <f>IF(P78&gt;=80,"✅ High Quality",IF(P78&gt;=60,"🟡 Acceptable",IF(P78&gt;=40,"⚠️ Use with Caution","🔴 Insufficient")))</f>
        <v>🟡 Acceptable</v>
      </c>
      <c r="R78" s="21"/>
    </row>
    <row r="79" spans="1:18" ht="21.75" customHeight="1" x14ac:dyDescent="0.2">
      <c r="A79" s="25"/>
      <c r="B79" s="25" t="s">
        <v>296</v>
      </c>
      <c r="C79" s="22" t="s">
        <v>297</v>
      </c>
      <c r="D79" s="23" t="s">
        <v>533</v>
      </c>
      <c r="E79" s="91">
        <v>5028</v>
      </c>
      <c r="F79" s="84" t="s">
        <v>296</v>
      </c>
      <c r="G79" s="17" t="s">
        <v>549</v>
      </c>
      <c r="H79" s="18">
        <v>2024</v>
      </c>
      <c r="I79" s="19" t="s">
        <v>282</v>
      </c>
      <c r="J79" s="19" t="s">
        <v>285</v>
      </c>
      <c r="K79" s="89"/>
      <c r="L79" s="84">
        <v>25</v>
      </c>
      <c r="M79" s="84">
        <v>15</v>
      </c>
      <c r="N79" s="84">
        <f>_xlfn.XLOOKUP(H79,'E Data_Inventory'!$H$3:$H$240,'E Data_Inventory'!N$3:N$240)</f>
        <v>25</v>
      </c>
      <c r="O79" s="84">
        <v>20</v>
      </c>
      <c r="P79" s="20">
        <f>L79+M79+N79+O79</f>
        <v>85</v>
      </c>
      <c r="Q79" s="23" t="str">
        <f>IF(P79&gt;=80,"✅ High Quality",IF(P79&gt;=60,"🟡 Acceptable",IF(P79&gt;=40,"⚠️ Use with Caution","🔴 Insufficient")))</f>
        <v>✅ High Quality</v>
      </c>
      <c r="R79" s="21"/>
    </row>
    <row r="80" spans="1:18" ht="21.75" hidden="1" customHeight="1" x14ac:dyDescent="0.2">
      <c r="A80" s="25"/>
      <c r="B80" s="25" t="s">
        <v>296</v>
      </c>
      <c r="C80" s="22" t="s">
        <v>299</v>
      </c>
      <c r="D80" s="23" t="s">
        <v>300</v>
      </c>
      <c r="E80" s="93"/>
      <c r="F80" s="84" t="s">
        <v>526</v>
      </c>
      <c r="G80" s="17" t="s">
        <v>549</v>
      </c>
      <c r="H80" s="18">
        <v>2020</v>
      </c>
      <c r="I80" s="19" t="s">
        <v>282</v>
      </c>
      <c r="J80" s="19" t="s">
        <v>286</v>
      </c>
      <c r="K80" s="89"/>
      <c r="L80" s="84">
        <v>25</v>
      </c>
      <c r="M80" s="84">
        <v>25</v>
      </c>
      <c r="N80" s="84">
        <v>25</v>
      </c>
      <c r="O80" s="84">
        <v>15</v>
      </c>
      <c r="P80" s="20">
        <f>L80+M80+N80+O80</f>
        <v>90</v>
      </c>
      <c r="Q80" s="23" t="str">
        <f>IF(P80&gt;=80,"✅ High Quality",IF(P80&gt;=60,"🟡 Acceptable",IF(P80&gt;=40,"⚠️ Use with Caution","🔴 Insufficient")))</f>
        <v>✅ High Quality</v>
      </c>
      <c r="R80" s="21"/>
    </row>
    <row r="81" spans="1:18" ht="21.75" customHeight="1" x14ac:dyDescent="0.2">
      <c r="A81" s="25"/>
      <c r="B81" s="25" t="s">
        <v>296</v>
      </c>
      <c r="C81" s="14" t="s">
        <v>299</v>
      </c>
      <c r="D81" s="15" t="s">
        <v>301</v>
      </c>
      <c r="E81" s="95">
        <v>0.26700000000000002</v>
      </c>
      <c r="F81" s="84" t="s">
        <v>296</v>
      </c>
      <c r="G81" s="24" t="s">
        <v>99</v>
      </c>
      <c r="H81" s="18">
        <v>2024</v>
      </c>
      <c r="I81" s="19" t="s">
        <v>282</v>
      </c>
      <c r="J81" s="19" t="s">
        <v>565</v>
      </c>
      <c r="K81" s="89"/>
      <c r="L81" s="84">
        <v>25</v>
      </c>
      <c r="M81" s="84">
        <v>15</v>
      </c>
      <c r="N81" s="84">
        <f>_xlfn.XLOOKUP(H81,'E Data_Inventory'!$H$3:$H$240,'E Data_Inventory'!N$3:N$240)</f>
        <v>25</v>
      </c>
      <c r="O81" s="84">
        <v>20</v>
      </c>
      <c r="P81" s="20">
        <f>L81+M81+N81+O81</f>
        <v>85</v>
      </c>
      <c r="Q81" s="15" t="str">
        <f>IF(P81&gt;=80,"✅ High Quality",IF(P81&gt;=60,"🟡 Acceptable",IF(P81&gt;=40,"⚠️ Use with Caution","🔴 Insufficient")))</f>
        <v>✅ High Quality</v>
      </c>
      <c r="R81" s="21"/>
    </row>
    <row r="82" spans="1:18" ht="21.75" hidden="1" customHeight="1" x14ac:dyDescent="0.2">
      <c r="A82" s="25"/>
      <c r="B82" s="25" t="s">
        <v>296</v>
      </c>
      <c r="C82" s="22" t="s">
        <v>299</v>
      </c>
      <c r="D82" s="23" t="s">
        <v>300</v>
      </c>
      <c r="E82" s="93"/>
      <c r="F82" s="84" t="s">
        <v>526</v>
      </c>
      <c r="G82" s="17" t="s">
        <v>549</v>
      </c>
      <c r="H82" s="18">
        <v>2019</v>
      </c>
      <c r="I82" s="19" t="s">
        <v>282</v>
      </c>
      <c r="J82" s="19" t="s">
        <v>286</v>
      </c>
      <c r="K82" s="89"/>
      <c r="L82" s="84">
        <v>25</v>
      </c>
      <c r="M82" s="84">
        <v>25</v>
      </c>
      <c r="N82" s="84">
        <v>25</v>
      </c>
      <c r="O82" s="84">
        <v>15</v>
      </c>
      <c r="P82" s="20">
        <f>L82+M82+N82+O82</f>
        <v>90</v>
      </c>
      <c r="Q82" s="23" t="str">
        <f>IF(P82&gt;=80,"✅ High Quality",IF(P82&gt;=60,"🟡 Acceptable",IF(P82&gt;=40,"⚠️ Use with Caution","🔴 Insufficient")))</f>
        <v>✅ High Quality</v>
      </c>
      <c r="R82" s="21"/>
    </row>
    <row r="83" spans="1:18" ht="21.75" customHeight="1" x14ac:dyDescent="0.2">
      <c r="A83" s="25"/>
      <c r="B83" s="25" t="s">
        <v>296</v>
      </c>
      <c r="C83" s="22" t="s">
        <v>299</v>
      </c>
      <c r="D83" s="23" t="s">
        <v>300</v>
      </c>
      <c r="E83" s="96">
        <v>9894.887999999999</v>
      </c>
      <c r="F83" s="84" t="s">
        <v>296</v>
      </c>
      <c r="G83" s="17" t="s">
        <v>549</v>
      </c>
      <c r="H83" s="18">
        <v>2024</v>
      </c>
      <c r="I83" s="19" t="s">
        <v>282</v>
      </c>
      <c r="J83" s="19" t="s">
        <v>567</v>
      </c>
      <c r="K83" s="89"/>
      <c r="L83" s="84">
        <v>25</v>
      </c>
      <c r="M83" s="84">
        <v>15</v>
      </c>
      <c r="N83" s="84">
        <f>_xlfn.XLOOKUP(H83,'E Data_Inventory'!$H$3:$H$240,'E Data_Inventory'!N$3:N$240)</f>
        <v>25</v>
      </c>
      <c r="O83" s="84">
        <v>20</v>
      </c>
      <c r="P83" s="20">
        <f>L83+M83+N83+O83</f>
        <v>85</v>
      </c>
      <c r="Q83" s="23" t="str">
        <f>IF(P83&gt;=80,"✅ High Quality",IF(P83&gt;=60,"🟡 Acceptable",IF(P83&gt;=40,"⚠️ Use with Caution","🔴 Insufficient")))</f>
        <v>✅ High Quality</v>
      </c>
      <c r="R83" s="21"/>
    </row>
  </sheetData>
  <autoFilter ref="A3:R83" xr:uid="{4FF663A1-5BAB-B847-A128-3477F1641FA2}">
    <filterColumn colId="4">
      <filters>
        <filter val="0.46"/>
        <filter val="0.51"/>
        <filter val="0.53"/>
        <filter val="0.59"/>
        <filter val="0.6"/>
        <filter val="0.84"/>
        <filter val="1.34"/>
        <filter val="1.52"/>
        <filter val="1.56"/>
        <filter val="1.61"/>
        <filter val="1.68"/>
        <filter val="1.69"/>
        <filter val="10,525"/>
        <filter val="11"/>
        <filter val="11,059"/>
        <filter val="11,753"/>
        <filter val="12,352"/>
        <filter val="12,735"/>
        <filter val="14"/>
        <filter val="14,935"/>
        <filter val="15"/>
        <filter val="15,934"/>
        <filter val="17,863"/>
        <filter val="18.7"/>
        <filter val="193,271"/>
        <filter val="21"/>
        <filter val="21%"/>
        <filter val="22"/>
        <filter val="22.0%"/>
        <filter val="23.5%"/>
        <filter val="24"/>
        <filter val="25.1%"/>
        <filter val="255,410"/>
        <filter val="26.7%"/>
        <filter val="335,505"/>
        <filter val="347,459"/>
        <filter val="39,218"/>
        <filter val="4017"/>
        <filter val="46,237"/>
        <filter val="46,674"/>
        <filter val="46,688"/>
        <filter val="46,982"/>
        <filter val="48,045"/>
        <filter val="48,058"/>
        <filter val="4842"/>
        <filter val="49,257"/>
        <filter val="49,300"/>
        <filter val="49,536"/>
        <filter val="4919"/>
        <filter val="5,162,891,184"/>
        <filter val="50,017"/>
        <filter val="5028"/>
        <filter val="506"/>
        <filter val="5221"/>
        <filter val="54,075"/>
        <filter val="5421"/>
        <filter val="557,244"/>
        <filter val="602,035"/>
        <filter val="693,555"/>
        <filter val="8"/>
        <filter val="844"/>
        <filter val="8785"/>
        <filter val="8871"/>
        <filter val="9609"/>
        <filter val="9612"/>
        <filter val="9678"/>
        <filter val="9895"/>
      </filters>
    </filterColumn>
    <sortState xmlns:xlrd2="http://schemas.microsoft.com/office/spreadsheetml/2017/richdata2" ref="A5:R83">
      <sortCondition ref="H3:H83"/>
    </sortState>
  </autoFilter>
  <mergeCells count="1">
    <mergeCell ref="A1:R1"/>
  </mergeCells>
  <conditionalFormatting sqref="P4:P83">
    <cfRule type="colorScale" priority="4">
      <colorScale>
        <cfvo type="num" val="0"/>
        <cfvo type="num" val="60"/>
        <cfvo type="num" val="100"/>
        <color rgb="FFFFAAAA"/>
        <color rgb="FFFFFF99"/>
        <color rgb="FF90EE90"/>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C2CA-AF5F-3A43-9574-2EC60A41D9FC}">
  <sheetPr filterMode="1">
    <tabColor rgb="FF2E7D4F"/>
  </sheetPr>
  <dimension ref="A1:R70"/>
  <sheetViews>
    <sheetView showGridLines="0" zoomScale="115" workbookViewId="0">
      <selection activeCell="B4" sqref="B4:H70"/>
    </sheetView>
  </sheetViews>
  <sheetFormatPr baseColWidth="10" defaultColWidth="8.6640625" defaultRowHeight="15" x14ac:dyDescent="0.2"/>
  <cols>
    <col min="1" max="1" width="4" customWidth="1"/>
    <col min="2" max="2" width="12" customWidth="1"/>
    <col min="3" max="3" width="18" customWidth="1"/>
    <col min="4" max="4" width="35.6640625" customWidth="1"/>
    <col min="5" max="6" width="14" customWidth="1"/>
    <col min="7" max="7" width="12" customWidth="1"/>
    <col min="8" max="8" width="10" customWidth="1"/>
    <col min="9" max="9" width="20.1640625" customWidth="1"/>
    <col min="10" max="10" width="22.83203125" customWidth="1"/>
    <col min="11" max="11" width="21.1640625" customWidth="1"/>
    <col min="12" max="16" width="12" customWidth="1"/>
    <col min="17" max="17" width="14" customWidth="1"/>
    <col min="18" max="18" width="28" customWidth="1"/>
  </cols>
  <sheetData>
    <row r="1" spans="1:18" ht="36" customHeight="1" x14ac:dyDescent="0.2">
      <c r="A1" s="101" t="s">
        <v>255</v>
      </c>
      <c r="B1" s="102"/>
      <c r="C1" s="102"/>
      <c r="D1" s="102"/>
      <c r="E1" s="102"/>
      <c r="F1" s="102"/>
      <c r="G1" s="102"/>
      <c r="H1" s="102"/>
      <c r="I1" s="102"/>
      <c r="J1" s="102"/>
      <c r="K1" s="102"/>
      <c r="L1" s="102"/>
      <c r="M1" s="102"/>
      <c r="N1" s="102"/>
      <c r="O1" s="102"/>
      <c r="P1" s="102"/>
      <c r="Q1" s="102"/>
      <c r="R1" s="102"/>
    </row>
    <row r="2" spans="1:18" ht="44" customHeight="1" x14ac:dyDescent="0.2">
      <c r="A2" s="64" t="s">
        <v>256</v>
      </c>
      <c r="B2" s="64"/>
      <c r="C2" s="64"/>
      <c r="D2" s="70" t="s">
        <v>257</v>
      </c>
      <c r="E2" s="64" t="s">
        <v>258</v>
      </c>
      <c r="F2" s="64"/>
      <c r="G2" s="64"/>
      <c r="H2" s="64"/>
      <c r="I2" s="64"/>
      <c r="J2" s="64"/>
      <c r="K2" s="64"/>
      <c r="L2" s="12" t="s">
        <v>259</v>
      </c>
      <c r="M2" s="12" t="s">
        <v>260</v>
      </c>
      <c r="N2" s="12" t="s">
        <v>261</v>
      </c>
      <c r="O2" s="12" t="s">
        <v>262</v>
      </c>
      <c r="P2" s="12" t="s">
        <v>263</v>
      </c>
      <c r="Q2" s="12" t="s">
        <v>264</v>
      </c>
      <c r="R2" s="12"/>
    </row>
    <row r="3" spans="1:18" ht="39.75" customHeight="1" x14ac:dyDescent="0.2">
      <c r="A3" s="11" t="s">
        <v>45</v>
      </c>
      <c r="B3" s="11" t="s">
        <v>265</v>
      </c>
      <c r="C3" s="11" t="s">
        <v>266</v>
      </c>
      <c r="D3" s="11" t="s">
        <v>46</v>
      </c>
      <c r="E3" s="11" t="s">
        <v>267</v>
      </c>
      <c r="F3" s="11" t="s">
        <v>527</v>
      </c>
      <c r="G3" s="11" t="s">
        <v>49</v>
      </c>
      <c r="H3" s="11" t="s">
        <v>268</v>
      </c>
      <c r="I3" s="11" t="s">
        <v>269</v>
      </c>
      <c r="J3" s="11" t="s">
        <v>270</v>
      </c>
      <c r="K3" s="11" t="s">
        <v>271</v>
      </c>
      <c r="L3" s="11" t="s">
        <v>272</v>
      </c>
      <c r="M3" s="11" t="s">
        <v>273</v>
      </c>
      <c r="N3" s="11" t="s">
        <v>274</v>
      </c>
      <c r="O3" s="11" t="s">
        <v>275</v>
      </c>
      <c r="P3" s="11" t="s">
        <v>276</v>
      </c>
      <c r="Q3" s="11" t="s">
        <v>277</v>
      </c>
      <c r="R3" s="11" t="s">
        <v>278</v>
      </c>
    </row>
    <row r="4" spans="1:18" ht="46" customHeight="1" x14ac:dyDescent="0.2">
      <c r="A4" s="26">
        <v>31</v>
      </c>
      <c r="B4" s="26" t="s">
        <v>306</v>
      </c>
      <c r="C4" s="22" t="s">
        <v>312</v>
      </c>
      <c r="D4" s="23" t="s">
        <v>217</v>
      </c>
      <c r="E4" s="84" t="s">
        <v>313</v>
      </c>
      <c r="F4" s="84" t="s">
        <v>525</v>
      </c>
      <c r="G4" s="17"/>
      <c r="H4" s="18">
        <v>2024</v>
      </c>
      <c r="I4" s="19"/>
      <c r="J4" s="78"/>
      <c r="K4" s="89"/>
      <c r="L4" s="84">
        <v>25</v>
      </c>
      <c r="M4" s="84">
        <v>25</v>
      </c>
      <c r="N4" s="84">
        <v>25</v>
      </c>
      <c r="O4" s="84">
        <v>15</v>
      </c>
      <c r="P4" s="20">
        <f>L4+M4+N4+O4</f>
        <v>90</v>
      </c>
      <c r="Q4" s="23" t="str">
        <f>IF(P4&gt;=80,"✅ High Quality",IF(P4&gt;=60,"🟡 Acceptable",IF(P4&gt;=40,"⚠️ Use with Caution","🔴 Insufficient")))</f>
        <v>✅ High Quality</v>
      </c>
      <c r="R4" s="21"/>
    </row>
    <row r="5" spans="1:18" ht="46" customHeight="1" x14ac:dyDescent="0.2">
      <c r="A5" s="26">
        <v>31</v>
      </c>
      <c r="B5" s="26" t="s">
        <v>306</v>
      </c>
      <c r="C5" s="22" t="s">
        <v>312</v>
      </c>
      <c r="D5" s="23" t="s">
        <v>217</v>
      </c>
      <c r="E5" s="84" t="s">
        <v>313</v>
      </c>
      <c r="F5" s="84" t="s">
        <v>526</v>
      </c>
      <c r="G5" s="17"/>
      <c r="H5" s="18">
        <v>2023</v>
      </c>
      <c r="I5" s="19"/>
      <c r="J5" s="78"/>
      <c r="K5" s="89"/>
      <c r="L5" s="84">
        <v>25</v>
      </c>
      <c r="M5" s="84">
        <v>25</v>
      </c>
      <c r="N5" s="84">
        <v>25</v>
      </c>
      <c r="O5" s="84">
        <v>15</v>
      </c>
      <c r="P5" s="20">
        <f>L5+M5+N5+O5</f>
        <v>90</v>
      </c>
      <c r="Q5" s="23" t="str">
        <f t="shared" ref="Q5:Q68" si="0">IF(P5&gt;=80,"✅ High Quality",IF(P5&gt;=60,"🟡 Acceptable",IF(P5&gt;=40,"⚠️ Use with Caution","🔴 Insufficient")))</f>
        <v>✅ High Quality</v>
      </c>
      <c r="R5" s="21"/>
    </row>
    <row r="6" spans="1:18" ht="46" customHeight="1" x14ac:dyDescent="0.2">
      <c r="A6" s="26">
        <v>31</v>
      </c>
      <c r="B6" s="26" t="s">
        <v>306</v>
      </c>
      <c r="C6" s="22" t="s">
        <v>312</v>
      </c>
      <c r="D6" s="23" t="s">
        <v>217</v>
      </c>
      <c r="E6" s="84" t="s">
        <v>313</v>
      </c>
      <c r="F6" s="84" t="s">
        <v>296</v>
      </c>
      <c r="G6" s="17"/>
      <c r="H6" s="18">
        <v>2023</v>
      </c>
      <c r="I6" s="19"/>
      <c r="J6" s="78"/>
      <c r="K6" s="89"/>
      <c r="L6" s="84">
        <v>25</v>
      </c>
      <c r="M6" s="84">
        <v>25</v>
      </c>
      <c r="N6" s="84">
        <v>25</v>
      </c>
      <c r="O6" s="84">
        <v>15</v>
      </c>
      <c r="P6" s="20">
        <f>L6+M6+N6+O6</f>
        <v>90</v>
      </c>
      <c r="Q6" s="23" t="str">
        <f t="shared" si="0"/>
        <v>✅ High Quality</v>
      </c>
      <c r="R6" s="21"/>
    </row>
    <row r="7" spans="1:18" ht="46" customHeight="1" x14ac:dyDescent="0.2">
      <c r="A7" s="26">
        <v>31</v>
      </c>
      <c r="B7" s="26" t="s">
        <v>306</v>
      </c>
      <c r="C7" s="22" t="s">
        <v>312</v>
      </c>
      <c r="D7" s="23" t="s">
        <v>217</v>
      </c>
      <c r="E7" s="84" t="s">
        <v>313</v>
      </c>
      <c r="F7" s="84" t="s">
        <v>526</v>
      </c>
      <c r="G7" s="17"/>
      <c r="H7" s="18">
        <v>2022</v>
      </c>
      <c r="I7" s="19"/>
      <c r="J7" s="78"/>
      <c r="K7" s="89"/>
      <c r="L7" s="84">
        <v>25</v>
      </c>
      <c r="M7" s="84">
        <v>25</v>
      </c>
      <c r="N7" s="84">
        <v>25</v>
      </c>
      <c r="O7" s="84">
        <v>15</v>
      </c>
      <c r="P7" s="20">
        <f>L7+M7+N7+O7</f>
        <v>90</v>
      </c>
      <c r="Q7" s="23" t="str">
        <f t="shared" si="0"/>
        <v>✅ High Quality</v>
      </c>
      <c r="R7" s="21"/>
    </row>
    <row r="8" spans="1:18" ht="46" customHeight="1" x14ac:dyDescent="0.2">
      <c r="A8" s="26">
        <v>31</v>
      </c>
      <c r="B8" s="26" t="s">
        <v>306</v>
      </c>
      <c r="C8" s="22" t="s">
        <v>312</v>
      </c>
      <c r="D8" s="23" t="s">
        <v>217</v>
      </c>
      <c r="E8" s="84" t="s">
        <v>313</v>
      </c>
      <c r="F8" s="84" t="s">
        <v>296</v>
      </c>
      <c r="G8" s="17"/>
      <c r="H8" s="18">
        <v>2022</v>
      </c>
      <c r="I8" s="19"/>
      <c r="J8" s="78"/>
      <c r="K8" s="89"/>
      <c r="L8" s="84">
        <v>25</v>
      </c>
      <c r="M8" s="84">
        <v>25</v>
      </c>
      <c r="N8" s="84">
        <v>25</v>
      </c>
      <c r="O8" s="84">
        <v>15</v>
      </c>
      <c r="P8" s="20">
        <f>L8+M8+N8+O8</f>
        <v>90</v>
      </c>
      <c r="Q8" s="23" t="str">
        <f>IF(P8&gt;=80,"✅ High Quality",IF(P8&gt;=60,"🟡 Acceptable",IF(P8&gt;=40,"⚠️ Use with Caution","🔴 Insufficient")))</f>
        <v>✅ High Quality</v>
      </c>
      <c r="R8" s="21"/>
    </row>
    <row r="9" spans="1:18" ht="21.75" customHeight="1" x14ac:dyDescent="0.2">
      <c r="A9" s="26">
        <v>31</v>
      </c>
      <c r="B9" s="26" t="s">
        <v>306</v>
      </c>
      <c r="C9" s="22" t="s">
        <v>312</v>
      </c>
      <c r="D9" s="23" t="s">
        <v>217</v>
      </c>
      <c r="E9" s="84" t="s">
        <v>313</v>
      </c>
      <c r="F9" s="84" t="s">
        <v>526</v>
      </c>
      <c r="G9" s="17"/>
      <c r="H9" s="18">
        <v>2021</v>
      </c>
      <c r="I9" s="19"/>
      <c r="J9" s="78"/>
      <c r="K9" s="89"/>
      <c r="L9" s="84">
        <v>25</v>
      </c>
      <c r="M9" s="84">
        <v>25</v>
      </c>
      <c r="N9" s="84">
        <v>25</v>
      </c>
      <c r="O9" s="84">
        <v>15</v>
      </c>
      <c r="P9" s="20">
        <f>L9+M9+N9+O9</f>
        <v>90</v>
      </c>
      <c r="Q9" s="23" t="str">
        <f t="shared" si="0"/>
        <v>✅ High Quality</v>
      </c>
      <c r="R9" s="21"/>
    </row>
    <row r="10" spans="1:18" ht="21.75" customHeight="1" x14ac:dyDescent="0.2">
      <c r="A10" s="26">
        <v>31</v>
      </c>
      <c r="B10" s="26" t="s">
        <v>306</v>
      </c>
      <c r="C10" s="22" t="s">
        <v>312</v>
      </c>
      <c r="D10" s="23" t="s">
        <v>217</v>
      </c>
      <c r="E10" s="84" t="s">
        <v>313</v>
      </c>
      <c r="F10" s="84" t="s">
        <v>296</v>
      </c>
      <c r="G10" s="17"/>
      <c r="H10" s="18">
        <v>2021</v>
      </c>
      <c r="I10" s="19"/>
      <c r="J10" s="78"/>
      <c r="K10" s="89"/>
      <c r="L10" s="84">
        <v>25</v>
      </c>
      <c r="M10" s="84">
        <v>25</v>
      </c>
      <c r="N10" s="84">
        <v>25</v>
      </c>
      <c r="O10" s="84">
        <v>15</v>
      </c>
      <c r="P10" s="20">
        <f>L10+M10+N10+O10</f>
        <v>90</v>
      </c>
      <c r="Q10" s="23" t="str">
        <f t="shared" si="0"/>
        <v>✅ High Quality</v>
      </c>
      <c r="R10" s="21"/>
    </row>
    <row r="11" spans="1:18" ht="21.75" customHeight="1" x14ac:dyDescent="0.2">
      <c r="A11" s="26">
        <v>31</v>
      </c>
      <c r="B11" s="26" t="s">
        <v>306</v>
      </c>
      <c r="C11" s="22" t="s">
        <v>312</v>
      </c>
      <c r="D11" s="23" t="s">
        <v>217</v>
      </c>
      <c r="E11" s="84" t="s">
        <v>313</v>
      </c>
      <c r="F11" s="84" t="s">
        <v>526</v>
      </c>
      <c r="G11" s="17"/>
      <c r="H11" s="18">
        <v>2020</v>
      </c>
      <c r="I11" s="19"/>
      <c r="J11" s="78"/>
      <c r="K11" s="89"/>
      <c r="L11" s="84">
        <v>25</v>
      </c>
      <c r="M11" s="84">
        <v>25</v>
      </c>
      <c r="N11" s="84">
        <v>25</v>
      </c>
      <c r="O11" s="84">
        <v>15</v>
      </c>
      <c r="P11" s="20">
        <f>L11+M11+N11+O11</f>
        <v>90</v>
      </c>
      <c r="Q11" s="23" t="str">
        <f t="shared" si="0"/>
        <v>✅ High Quality</v>
      </c>
      <c r="R11" s="21"/>
    </row>
    <row r="12" spans="1:18" ht="21.75" customHeight="1" x14ac:dyDescent="0.2">
      <c r="A12" s="26">
        <v>31</v>
      </c>
      <c r="B12" s="26" t="s">
        <v>306</v>
      </c>
      <c r="C12" s="22" t="s">
        <v>312</v>
      </c>
      <c r="D12" s="23" t="s">
        <v>217</v>
      </c>
      <c r="E12" s="84" t="s">
        <v>313</v>
      </c>
      <c r="F12" s="84" t="s">
        <v>296</v>
      </c>
      <c r="G12" s="17"/>
      <c r="H12" s="18">
        <v>2020</v>
      </c>
      <c r="I12" s="19"/>
      <c r="J12" s="78"/>
      <c r="K12" s="89"/>
      <c r="L12" s="84">
        <v>25</v>
      </c>
      <c r="M12" s="84">
        <v>25</v>
      </c>
      <c r="N12" s="84">
        <v>25</v>
      </c>
      <c r="O12" s="84">
        <v>15</v>
      </c>
      <c r="P12" s="20">
        <f>L12+M12+N12+O12</f>
        <v>90</v>
      </c>
      <c r="Q12" s="23" t="str">
        <f t="shared" si="0"/>
        <v>✅ High Quality</v>
      </c>
      <c r="R12" s="21"/>
    </row>
    <row r="13" spans="1:18" ht="21.75" customHeight="1" x14ac:dyDescent="0.2">
      <c r="A13" s="26">
        <v>31</v>
      </c>
      <c r="B13" s="26" t="s">
        <v>306</v>
      </c>
      <c r="C13" s="22" t="s">
        <v>312</v>
      </c>
      <c r="D13" s="23" t="s">
        <v>217</v>
      </c>
      <c r="E13" s="84" t="s">
        <v>313</v>
      </c>
      <c r="F13" s="84" t="s">
        <v>526</v>
      </c>
      <c r="G13" s="17"/>
      <c r="H13" s="18">
        <v>2019</v>
      </c>
      <c r="I13" s="19"/>
      <c r="J13" s="78"/>
      <c r="K13" s="89"/>
      <c r="L13" s="84">
        <v>25</v>
      </c>
      <c r="M13" s="84">
        <v>25</v>
      </c>
      <c r="N13" s="84">
        <v>25</v>
      </c>
      <c r="O13" s="84">
        <v>15</v>
      </c>
      <c r="P13" s="20">
        <f>L13+M13+N13+O13</f>
        <v>90</v>
      </c>
      <c r="Q13" s="23" t="str">
        <f t="shared" si="0"/>
        <v>✅ High Quality</v>
      </c>
      <c r="R13" s="21"/>
    </row>
    <row r="14" spans="1:18" ht="21.75" customHeight="1" x14ac:dyDescent="0.2">
      <c r="A14" s="26">
        <v>31</v>
      </c>
      <c r="B14" s="26" t="s">
        <v>306</v>
      </c>
      <c r="C14" s="22" t="s">
        <v>312</v>
      </c>
      <c r="D14" s="23" t="s">
        <v>217</v>
      </c>
      <c r="E14" s="84" t="s">
        <v>313</v>
      </c>
      <c r="F14" s="84" t="s">
        <v>296</v>
      </c>
      <c r="G14" s="17"/>
      <c r="H14" s="18">
        <v>2019</v>
      </c>
      <c r="I14" s="19"/>
      <c r="J14" s="78"/>
      <c r="K14" s="89"/>
      <c r="L14" s="84">
        <v>25</v>
      </c>
      <c r="M14" s="84">
        <v>25</v>
      </c>
      <c r="N14" s="84">
        <v>25</v>
      </c>
      <c r="O14" s="84">
        <v>15</v>
      </c>
      <c r="P14" s="20">
        <f>L14+M14+N14+O14</f>
        <v>90</v>
      </c>
      <c r="Q14" s="23" t="str">
        <f t="shared" si="0"/>
        <v>✅ High Quality</v>
      </c>
      <c r="R14" s="21"/>
    </row>
    <row r="15" spans="1:18" ht="46" customHeight="1" x14ac:dyDescent="0.2">
      <c r="A15" s="26">
        <v>26</v>
      </c>
      <c r="B15" s="26" t="s">
        <v>306</v>
      </c>
      <c r="C15" s="14" t="s">
        <v>307</v>
      </c>
      <c r="D15" s="23" t="s">
        <v>308</v>
      </c>
      <c r="E15" s="84">
        <v>14</v>
      </c>
      <c r="F15" s="84" t="s">
        <v>525</v>
      </c>
      <c r="G15" s="17" t="s">
        <v>309</v>
      </c>
      <c r="H15" s="18">
        <v>2024</v>
      </c>
      <c r="I15" s="19"/>
      <c r="J15" s="78"/>
      <c r="K15" s="89"/>
      <c r="L15" s="84">
        <v>25</v>
      </c>
      <c r="M15" s="84">
        <v>25</v>
      </c>
      <c r="N15" s="84">
        <v>25</v>
      </c>
      <c r="O15" s="84">
        <v>15</v>
      </c>
      <c r="P15" s="20">
        <f>L15+M15+N15+O15</f>
        <v>90</v>
      </c>
      <c r="Q15" s="23" t="str">
        <f t="shared" si="0"/>
        <v>✅ High Quality</v>
      </c>
      <c r="R15" s="21"/>
    </row>
    <row r="16" spans="1:18" ht="21.75" hidden="1" customHeight="1" x14ac:dyDescent="0.2">
      <c r="A16" s="26">
        <v>26</v>
      </c>
      <c r="B16" s="26" t="s">
        <v>306</v>
      </c>
      <c r="C16" s="14" t="s">
        <v>307</v>
      </c>
      <c r="D16" s="23" t="s">
        <v>308</v>
      </c>
      <c r="E16" s="84"/>
      <c r="F16" s="84" t="s">
        <v>526</v>
      </c>
      <c r="G16" s="17" t="s">
        <v>309</v>
      </c>
      <c r="H16" s="18">
        <v>2023</v>
      </c>
      <c r="I16" s="19"/>
      <c r="J16" s="78"/>
      <c r="K16" s="89"/>
      <c r="L16" s="84"/>
      <c r="M16" s="84"/>
      <c r="N16" s="84"/>
      <c r="O16" s="84"/>
      <c r="P16" s="20">
        <f>L16+M16+N16+O16</f>
        <v>0</v>
      </c>
      <c r="Q16" s="23" t="str">
        <f t="shared" si="0"/>
        <v>🔴 Insufficient</v>
      </c>
      <c r="R16" s="21"/>
    </row>
    <row r="17" spans="1:18" ht="21.75" hidden="1" customHeight="1" x14ac:dyDescent="0.2">
      <c r="A17" s="26">
        <v>26</v>
      </c>
      <c r="B17" s="26" t="s">
        <v>306</v>
      </c>
      <c r="C17" s="14" t="s">
        <v>307</v>
      </c>
      <c r="D17" s="23" t="s">
        <v>308</v>
      </c>
      <c r="E17" s="84"/>
      <c r="F17" s="84" t="s">
        <v>296</v>
      </c>
      <c r="G17" s="17" t="s">
        <v>309</v>
      </c>
      <c r="H17" s="18">
        <v>2023</v>
      </c>
      <c r="I17" s="19"/>
      <c r="J17" s="78"/>
      <c r="K17" s="89"/>
      <c r="L17" s="84"/>
      <c r="M17" s="84"/>
      <c r="N17" s="84"/>
      <c r="O17" s="84"/>
      <c r="P17" s="20">
        <f>L17+M17+N17+O17</f>
        <v>0</v>
      </c>
      <c r="Q17" s="23" t="str">
        <f t="shared" si="0"/>
        <v>🔴 Insufficient</v>
      </c>
      <c r="R17" s="21"/>
    </row>
    <row r="18" spans="1:18" ht="21.75" hidden="1" customHeight="1" x14ac:dyDescent="0.2">
      <c r="A18" s="26">
        <v>26</v>
      </c>
      <c r="B18" s="26" t="s">
        <v>306</v>
      </c>
      <c r="C18" s="14" t="s">
        <v>307</v>
      </c>
      <c r="D18" s="23" t="s">
        <v>308</v>
      </c>
      <c r="E18" s="84"/>
      <c r="F18" s="84" t="s">
        <v>526</v>
      </c>
      <c r="G18" s="17" t="s">
        <v>309</v>
      </c>
      <c r="H18" s="18">
        <v>2022</v>
      </c>
      <c r="I18" s="19"/>
      <c r="J18" s="78"/>
      <c r="K18" s="89"/>
      <c r="L18" s="84"/>
      <c r="M18" s="84"/>
      <c r="N18" s="84"/>
      <c r="O18" s="84"/>
      <c r="P18" s="20">
        <f>L18+M18+N18+O18</f>
        <v>0</v>
      </c>
      <c r="Q18" s="23" t="str">
        <f t="shared" si="0"/>
        <v>🔴 Insufficient</v>
      </c>
      <c r="R18" s="21"/>
    </row>
    <row r="19" spans="1:18" ht="21.75" hidden="1" customHeight="1" x14ac:dyDescent="0.2">
      <c r="A19" s="26">
        <v>26</v>
      </c>
      <c r="B19" s="26" t="s">
        <v>306</v>
      </c>
      <c r="C19" s="14" t="s">
        <v>307</v>
      </c>
      <c r="D19" s="23" t="s">
        <v>308</v>
      </c>
      <c r="E19" s="84"/>
      <c r="F19" s="84" t="s">
        <v>296</v>
      </c>
      <c r="G19" s="17" t="s">
        <v>309</v>
      </c>
      <c r="H19" s="18">
        <v>2022</v>
      </c>
      <c r="I19" s="19"/>
      <c r="J19" s="78"/>
      <c r="K19" s="89"/>
      <c r="L19" s="84"/>
      <c r="M19" s="84"/>
      <c r="N19" s="84"/>
      <c r="O19" s="84"/>
      <c r="P19" s="20">
        <f>L19+M19+N19+O19</f>
        <v>0</v>
      </c>
      <c r="Q19" s="23" t="str">
        <f t="shared" si="0"/>
        <v>🔴 Insufficient</v>
      </c>
      <c r="R19" s="21"/>
    </row>
    <row r="20" spans="1:18" ht="21.75" hidden="1" customHeight="1" x14ac:dyDescent="0.2">
      <c r="A20" s="26">
        <v>26</v>
      </c>
      <c r="B20" s="26" t="s">
        <v>306</v>
      </c>
      <c r="C20" s="14" t="s">
        <v>307</v>
      </c>
      <c r="D20" s="23" t="s">
        <v>308</v>
      </c>
      <c r="E20" s="84"/>
      <c r="F20" s="84" t="s">
        <v>526</v>
      </c>
      <c r="G20" s="17" t="s">
        <v>309</v>
      </c>
      <c r="H20" s="18">
        <v>2021</v>
      </c>
      <c r="I20" s="19"/>
      <c r="J20" s="78"/>
      <c r="K20" s="89"/>
      <c r="L20" s="84"/>
      <c r="M20" s="84"/>
      <c r="N20" s="84"/>
      <c r="O20" s="84"/>
      <c r="P20" s="20">
        <f>L20+M20+N20+O20</f>
        <v>0</v>
      </c>
      <c r="Q20" s="23" t="str">
        <f t="shared" si="0"/>
        <v>🔴 Insufficient</v>
      </c>
      <c r="R20" s="21"/>
    </row>
    <row r="21" spans="1:18" ht="21.75" hidden="1" customHeight="1" x14ac:dyDescent="0.2">
      <c r="A21" s="26">
        <v>26</v>
      </c>
      <c r="B21" s="26" t="s">
        <v>306</v>
      </c>
      <c r="C21" s="14" t="s">
        <v>307</v>
      </c>
      <c r="D21" s="23" t="s">
        <v>308</v>
      </c>
      <c r="E21" s="84"/>
      <c r="F21" s="84" t="s">
        <v>296</v>
      </c>
      <c r="G21" s="17" t="s">
        <v>309</v>
      </c>
      <c r="H21" s="18">
        <v>2021</v>
      </c>
      <c r="I21" s="19"/>
      <c r="J21" s="78"/>
      <c r="K21" s="89"/>
      <c r="L21" s="84"/>
      <c r="M21" s="84"/>
      <c r="N21" s="84"/>
      <c r="O21" s="84"/>
      <c r="P21" s="20">
        <f>L21+M21+N21+O21</f>
        <v>0</v>
      </c>
      <c r="Q21" s="23" t="str">
        <f t="shared" si="0"/>
        <v>🔴 Insufficient</v>
      </c>
      <c r="R21" s="21"/>
    </row>
    <row r="22" spans="1:18" ht="21.75" hidden="1" customHeight="1" x14ac:dyDescent="0.2">
      <c r="A22" s="26">
        <v>26</v>
      </c>
      <c r="B22" s="26" t="s">
        <v>306</v>
      </c>
      <c r="C22" s="14" t="s">
        <v>307</v>
      </c>
      <c r="D22" s="23" t="s">
        <v>308</v>
      </c>
      <c r="E22" s="84"/>
      <c r="F22" s="84" t="s">
        <v>526</v>
      </c>
      <c r="G22" s="17" t="s">
        <v>309</v>
      </c>
      <c r="H22" s="18">
        <v>2020</v>
      </c>
      <c r="I22" s="19"/>
      <c r="J22" s="78"/>
      <c r="K22" s="89"/>
      <c r="L22" s="84"/>
      <c r="M22" s="84"/>
      <c r="N22" s="84"/>
      <c r="O22" s="84"/>
      <c r="P22" s="20">
        <f>L22+M22+N22+O22</f>
        <v>0</v>
      </c>
      <c r="Q22" s="23" t="str">
        <f t="shared" si="0"/>
        <v>🔴 Insufficient</v>
      </c>
      <c r="R22" s="21"/>
    </row>
    <row r="23" spans="1:18" ht="21.75" hidden="1" customHeight="1" x14ac:dyDescent="0.2">
      <c r="A23" s="26">
        <v>26</v>
      </c>
      <c r="B23" s="26" t="s">
        <v>306</v>
      </c>
      <c r="C23" s="14" t="s">
        <v>307</v>
      </c>
      <c r="D23" s="23" t="s">
        <v>308</v>
      </c>
      <c r="E23" s="84"/>
      <c r="F23" s="84" t="s">
        <v>296</v>
      </c>
      <c r="G23" s="17" t="s">
        <v>309</v>
      </c>
      <c r="H23" s="18">
        <v>2020</v>
      </c>
      <c r="I23" s="19"/>
      <c r="J23" s="78"/>
      <c r="K23" s="89"/>
      <c r="L23" s="84"/>
      <c r="M23" s="84"/>
      <c r="N23" s="84"/>
      <c r="O23" s="84"/>
      <c r="P23" s="20">
        <f>L23+M23+N23+O23</f>
        <v>0</v>
      </c>
      <c r="Q23" s="23" t="str">
        <f t="shared" si="0"/>
        <v>🔴 Insufficient</v>
      </c>
      <c r="R23" s="21"/>
    </row>
    <row r="24" spans="1:18" ht="21.75" hidden="1" customHeight="1" x14ac:dyDescent="0.2">
      <c r="A24" s="26">
        <v>26</v>
      </c>
      <c r="B24" s="26" t="s">
        <v>306</v>
      </c>
      <c r="C24" s="14" t="s">
        <v>307</v>
      </c>
      <c r="D24" s="23" t="s">
        <v>308</v>
      </c>
      <c r="E24" s="84"/>
      <c r="F24" s="84" t="s">
        <v>526</v>
      </c>
      <c r="G24" s="17" t="s">
        <v>309</v>
      </c>
      <c r="H24" s="18">
        <v>2019</v>
      </c>
      <c r="I24" s="19"/>
      <c r="J24" s="78"/>
      <c r="K24" s="89"/>
      <c r="L24" s="84"/>
      <c r="M24" s="84"/>
      <c r="N24" s="84"/>
      <c r="O24" s="84"/>
      <c r="P24" s="20">
        <f>L24+M24+N24+O24</f>
        <v>0</v>
      </c>
      <c r="Q24" s="23" t="str">
        <f t="shared" si="0"/>
        <v>🔴 Insufficient</v>
      </c>
      <c r="R24" s="21"/>
    </row>
    <row r="25" spans="1:18" ht="21.75" hidden="1" customHeight="1" x14ac:dyDescent="0.2">
      <c r="A25" s="26">
        <v>26</v>
      </c>
      <c r="B25" s="26" t="s">
        <v>306</v>
      </c>
      <c r="C25" s="14" t="s">
        <v>307</v>
      </c>
      <c r="D25" s="23" t="s">
        <v>308</v>
      </c>
      <c r="E25" s="84"/>
      <c r="F25" s="84" t="s">
        <v>296</v>
      </c>
      <c r="G25" s="17" t="s">
        <v>309</v>
      </c>
      <c r="H25" s="18">
        <v>2019</v>
      </c>
      <c r="I25" s="19"/>
      <c r="J25" s="78"/>
      <c r="K25" s="89"/>
      <c r="L25" s="84"/>
      <c r="M25" s="84"/>
      <c r="N25" s="84"/>
      <c r="O25" s="84"/>
      <c r="P25" s="20">
        <f>L25+M25+N25+O25</f>
        <v>0</v>
      </c>
      <c r="Q25" s="23" t="str">
        <f t="shared" si="0"/>
        <v>🔴 Insufficient</v>
      </c>
      <c r="R25" s="21"/>
    </row>
    <row r="26" spans="1:18" ht="46" customHeight="1" x14ac:dyDescent="0.2">
      <c r="A26" s="26">
        <v>26</v>
      </c>
      <c r="B26" s="26" t="s">
        <v>306</v>
      </c>
      <c r="C26" s="14" t="s">
        <v>307</v>
      </c>
      <c r="D26" s="15" t="s">
        <v>555</v>
      </c>
      <c r="E26" s="84">
        <v>12</v>
      </c>
      <c r="F26" s="84" t="s">
        <v>525</v>
      </c>
      <c r="G26" s="17" t="s">
        <v>309</v>
      </c>
      <c r="H26" s="18">
        <v>2024</v>
      </c>
      <c r="I26" s="19"/>
      <c r="J26" s="78"/>
      <c r="K26" s="89"/>
      <c r="L26" s="84">
        <v>25</v>
      </c>
      <c r="M26" s="84">
        <v>25</v>
      </c>
      <c r="N26" s="84">
        <v>25</v>
      </c>
      <c r="O26" s="84">
        <v>15</v>
      </c>
      <c r="P26" s="20">
        <f>L26+M26+N26+O26</f>
        <v>90</v>
      </c>
      <c r="Q26" s="23" t="str">
        <f t="shared" si="0"/>
        <v>✅ High Quality</v>
      </c>
      <c r="R26" s="21"/>
    </row>
    <row r="27" spans="1:18" ht="21.75" hidden="1" customHeight="1" x14ac:dyDescent="0.2">
      <c r="A27" s="26">
        <v>26</v>
      </c>
      <c r="B27" s="26" t="s">
        <v>306</v>
      </c>
      <c r="C27" s="14" t="s">
        <v>307</v>
      </c>
      <c r="D27" s="15" t="s">
        <v>555</v>
      </c>
      <c r="E27" s="84"/>
      <c r="F27" s="84" t="s">
        <v>526</v>
      </c>
      <c r="G27" s="17" t="s">
        <v>309</v>
      </c>
      <c r="H27" s="18">
        <v>2023</v>
      </c>
      <c r="I27" s="19"/>
      <c r="J27" s="78"/>
      <c r="K27" s="89"/>
      <c r="L27" s="84"/>
      <c r="M27" s="84"/>
      <c r="N27" s="84"/>
      <c r="O27" s="84"/>
      <c r="P27" s="20">
        <f>L27+M27+N27+O27</f>
        <v>0</v>
      </c>
      <c r="Q27" s="23" t="str">
        <f t="shared" si="0"/>
        <v>🔴 Insufficient</v>
      </c>
      <c r="R27" s="21"/>
    </row>
    <row r="28" spans="1:18" ht="21.75" hidden="1" customHeight="1" x14ac:dyDescent="0.2">
      <c r="A28" s="26">
        <v>26</v>
      </c>
      <c r="B28" s="26" t="s">
        <v>306</v>
      </c>
      <c r="C28" s="14" t="s">
        <v>307</v>
      </c>
      <c r="D28" s="15" t="s">
        <v>555</v>
      </c>
      <c r="E28" s="84"/>
      <c r="F28" s="84" t="s">
        <v>296</v>
      </c>
      <c r="G28" s="17" t="s">
        <v>309</v>
      </c>
      <c r="H28" s="18">
        <v>2023</v>
      </c>
      <c r="I28" s="19"/>
      <c r="J28" s="78"/>
      <c r="K28" s="89"/>
      <c r="L28" s="84"/>
      <c r="M28" s="84"/>
      <c r="N28" s="84"/>
      <c r="O28" s="84"/>
      <c r="P28" s="20">
        <f>L28+M28+N28+O28</f>
        <v>0</v>
      </c>
      <c r="Q28" s="23" t="str">
        <f t="shared" si="0"/>
        <v>🔴 Insufficient</v>
      </c>
      <c r="R28" s="21"/>
    </row>
    <row r="29" spans="1:18" ht="21.75" hidden="1" customHeight="1" x14ac:dyDescent="0.2">
      <c r="A29" s="26">
        <v>26</v>
      </c>
      <c r="B29" s="26" t="s">
        <v>306</v>
      </c>
      <c r="C29" s="14" t="s">
        <v>307</v>
      </c>
      <c r="D29" s="15" t="s">
        <v>555</v>
      </c>
      <c r="E29" s="84"/>
      <c r="F29" s="84" t="s">
        <v>526</v>
      </c>
      <c r="G29" s="17" t="s">
        <v>309</v>
      </c>
      <c r="H29" s="18">
        <v>2022</v>
      </c>
      <c r="I29" s="19"/>
      <c r="J29" s="78"/>
      <c r="K29" s="89"/>
      <c r="L29" s="84"/>
      <c r="M29" s="84"/>
      <c r="N29" s="84"/>
      <c r="O29" s="84"/>
      <c r="P29" s="20">
        <f>L29+M29+N29+O29</f>
        <v>0</v>
      </c>
      <c r="Q29" s="23" t="str">
        <f t="shared" si="0"/>
        <v>🔴 Insufficient</v>
      </c>
      <c r="R29" s="21"/>
    </row>
    <row r="30" spans="1:18" ht="21.75" hidden="1" customHeight="1" x14ac:dyDescent="0.2">
      <c r="A30" s="26">
        <v>26</v>
      </c>
      <c r="B30" s="26" t="s">
        <v>306</v>
      </c>
      <c r="C30" s="14" t="s">
        <v>307</v>
      </c>
      <c r="D30" s="15" t="s">
        <v>555</v>
      </c>
      <c r="E30" s="84"/>
      <c r="F30" s="84" t="s">
        <v>296</v>
      </c>
      <c r="G30" s="17" t="s">
        <v>309</v>
      </c>
      <c r="H30" s="18">
        <v>2022</v>
      </c>
      <c r="I30" s="19"/>
      <c r="J30" s="78"/>
      <c r="K30" s="89"/>
      <c r="L30" s="84"/>
      <c r="M30" s="84"/>
      <c r="N30" s="84"/>
      <c r="O30" s="84"/>
      <c r="P30" s="20">
        <f>L30+M30+N30+O30</f>
        <v>0</v>
      </c>
      <c r="Q30" s="23" t="str">
        <f t="shared" si="0"/>
        <v>🔴 Insufficient</v>
      </c>
      <c r="R30" s="21"/>
    </row>
    <row r="31" spans="1:18" ht="21.75" hidden="1" customHeight="1" x14ac:dyDescent="0.2">
      <c r="A31" s="26">
        <v>26</v>
      </c>
      <c r="B31" s="26" t="s">
        <v>306</v>
      </c>
      <c r="C31" s="14" t="s">
        <v>307</v>
      </c>
      <c r="D31" s="15" t="s">
        <v>555</v>
      </c>
      <c r="E31" s="84"/>
      <c r="F31" s="84" t="s">
        <v>526</v>
      </c>
      <c r="G31" s="17" t="s">
        <v>309</v>
      </c>
      <c r="H31" s="18">
        <v>2021</v>
      </c>
      <c r="I31" s="19"/>
      <c r="J31" s="78"/>
      <c r="K31" s="89"/>
      <c r="L31" s="84"/>
      <c r="M31" s="84"/>
      <c r="N31" s="84"/>
      <c r="O31" s="84"/>
      <c r="P31" s="20">
        <f>L31+M31+N31+O31</f>
        <v>0</v>
      </c>
      <c r="Q31" s="23" t="str">
        <f t="shared" si="0"/>
        <v>🔴 Insufficient</v>
      </c>
      <c r="R31" s="21"/>
    </row>
    <row r="32" spans="1:18" ht="21.75" hidden="1" customHeight="1" x14ac:dyDescent="0.2">
      <c r="A32" s="26">
        <v>26</v>
      </c>
      <c r="B32" s="26" t="s">
        <v>306</v>
      </c>
      <c r="C32" s="14" t="s">
        <v>307</v>
      </c>
      <c r="D32" s="15" t="s">
        <v>555</v>
      </c>
      <c r="E32" s="84"/>
      <c r="F32" s="84" t="s">
        <v>296</v>
      </c>
      <c r="G32" s="17" t="s">
        <v>309</v>
      </c>
      <c r="H32" s="18">
        <v>2021</v>
      </c>
      <c r="I32" s="19"/>
      <c r="J32" s="78"/>
      <c r="K32" s="89"/>
      <c r="L32" s="84"/>
      <c r="M32" s="84"/>
      <c r="N32" s="84"/>
      <c r="O32" s="84"/>
      <c r="P32" s="20">
        <f>L32+M32+N32+O32</f>
        <v>0</v>
      </c>
      <c r="Q32" s="23" t="str">
        <f t="shared" si="0"/>
        <v>🔴 Insufficient</v>
      </c>
      <c r="R32" s="21"/>
    </row>
    <row r="33" spans="1:18" ht="21.75" hidden="1" customHeight="1" x14ac:dyDescent="0.2">
      <c r="A33" s="26">
        <v>26</v>
      </c>
      <c r="B33" s="26" t="s">
        <v>306</v>
      </c>
      <c r="C33" s="14" t="s">
        <v>307</v>
      </c>
      <c r="D33" s="15" t="s">
        <v>555</v>
      </c>
      <c r="E33" s="84"/>
      <c r="F33" s="84" t="s">
        <v>526</v>
      </c>
      <c r="G33" s="17" t="s">
        <v>309</v>
      </c>
      <c r="H33" s="18">
        <v>2020</v>
      </c>
      <c r="I33" s="19"/>
      <c r="J33" s="78"/>
      <c r="K33" s="89"/>
      <c r="L33" s="84"/>
      <c r="M33" s="84"/>
      <c r="N33" s="84"/>
      <c r="O33" s="84"/>
      <c r="P33" s="20">
        <f>L33+M33+N33+O33</f>
        <v>0</v>
      </c>
      <c r="Q33" s="23" t="str">
        <f t="shared" si="0"/>
        <v>🔴 Insufficient</v>
      </c>
      <c r="R33" s="21"/>
    </row>
    <row r="34" spans="1:18" ht="21.75" hidden="1" customHeight="1" x14ac:dyDescent="0.2">
      <c r="A34" s="26">
        <v>26</v>
      </c>
      <c r="B34" s="26" t="s">
        <v>306</v>
      </c>
      <c r="C34" s="14" t="s">
        <v>307</v>
      </c>
      <c r="D34" s="15" t="s">
        <v>555</v>
      </c>
      <c r="E34" s="84"/>
      <c r="F34" s="84" t="s">
        <v>296</v>
      </c>
      <c r="G34" s="17" t="s">
        <v>309</v>
      </c>
      <c r="H34" s="18">
        <v>2020</v>
      </c>
      <c r="I34" s="19"/>
      <c r="J34" s="78"/>
      <c r="K34" s="89"/>
      <c r="L34" s="84"/>
      <c r="M34" s="84"/>
      <c r="N34" s="84"/>
      <c r="O34" s="84"/>
      <c r="P34" s="20">
        <f>L34+M34+N34+O34</f>
        <v>0</v>
      </c>
      <c r="Q34" s="23" t="str">
        <f t="shared" si="0"/>
        <v>🔴 Insufficient</v>
      </c>
      <c r="R34" s="21"/>
    </row>
    <row r="35" spans="1:18" ht="21.75" hidden="1" customHeight="1" x14ac:dyDescent="0.2">
      <c r="A35" s="26">
        <v>26</v>
      </c>
      <c r="B35" s="26" t="s">
        <v>306</v>
      </c>
      <c r="C35" s="14" t="s">
        <v>307</v>
      </c>
      <c r="D35" s="15" t="s">
        <v>555</v>
      </c>
      <c r="E35" s="84"/>
      <c r="F35" s="84" t="s">
        <v>526</v>
      </c>
      <c r="G35" s="17" t="s">
        <v>309</v>
      </c>
      <c r="H35" s="18">
        <v>2019</v>
      </c>
      <c r="I35" s="19"/>
      <c r="J35" s="78"/>
      <c r="K35" s="89"/>
      <c r="L35" s="84"/>
      <c r="M35" s="84"/>
      <c r="N35" s="84"/>
      <c r="O35" s="84"/>
      <c r="P35" s="20">
        <f>L35+M35+N35+O35</f>
        <v>0</v>
      </c>
      <c r="Q35" s="23" t="str">
        <f t="shared" si="0"/>
        <v>🔴 Insufficient</v>
      </c>
      <c r="R35" s="21"/>
    </row>
    <row r="36" spans="1:18" ht="21.75" hidden="1" customHeight="1" x14ac:dyDescent="0.2">
      <c r="A36" s="26">
        <v>26</v>
      </c>
      <c r="B36" s="26" t="s">
        <v>306</v>
      </c>
      <c r="C36" s="14" t="s">
        <v>307</v>
      </c>
      <c r="D36" s="15" t="s">
        <v>555</v>
      </c>
      <c r="E36" s="84"/>
      <c r="F36" s="84" t="s">
        <v>296</v>
      </c>
      <c r="G36" s="17" t="s">
        <v>309</v>
      </c>
      <c r="H36" s="18">
        <v>2019</v>
      </c>
      <c r="I36" s="19"/>
      <c r="J36" s="78"/>
      <c r="K36" s="89"/>
      <c r="L36" s="84"/>
      <c r="M36" s="84"/>
      <c r="N36" s="84"/>
      <c r="O36" s="84"/>
      <c r="P36" s="20">
        <f>L36+M36+N36+O36</f>
        <v>0</v>
      </c>
      <c r="Q36" s="23" t="str">
        <f t="shared" si="0"/>
        <v>🔴 Insufficient</v>
      </c>
      <c r="R36" s="21"/>
    </row>
    <row r="37" spans="1:18" ht="46" customHeight="1" x14ac:dyDescent="0.2">
      <c r="A37" s="26">
        <v>26</v>
      </c>
      <c r="B37" s="26" t="s">
        <v>306</v>
      </c>
      <c r="C37" s="14" t="s">
        <v>307</v>
      </c>
      <c r="D37" s="15" t="s">
        <v>310</v>
      </c>
      <c r="E37" s="85">
        <f>E26/E15</f>
        <v>0.8571428571428571</v>
      </c>
      <c r="F37" s="84" t="s">
        <v>525</v>
      </c>
      <c r="G37" s="24" t="s">
        <v>99</v>
      </c>
      <c r="H37" s="18">
        <v>2024</v>
      </c>
      <c r="I37" s="19"/>
      <c r="J37" s="78"/>
      <c r="K37" s="89"/>
      <c r="L37" s="84">
        <v>25</v>
      </c>
      <c r="M37" s="84">
        <v>25</v>
      </c>
      <c r="N37" s="84">
        <v>25</v>
      </c>
      <c r="O37" s="84">
        <v>15</v>
      </c>
      <c r="P37" s="20">
        <f>L37+M37+N37+O37</f>
        <v>90</v>
      </c>
      <c r="Q37" s="23" t="str">
        <f t="shared" si="0"/>
        <v>✅ High Quality</v>
      </c>
      <c r="R37" s="21"/>
    </row>
    <row r="38" spans="1:18" ht="21.75" hidden="1" customHeight="1" x14ac:dyDescent="0.2">
      <c r="A38" s="26">
        <v>26</v>
      </c>
      <c r="B38" s="26" t="s">
        <v>306</v>
      </c>
      <c r="C38" s="14" t="s">
        <v>307</v>
      </c>
      <c r="D38" s="15" t="s">
        <v>310</v>
      </c>
      <c r="E38" s="84"/>
      <c r="F38" s="84" t="s">
        <v>526</v>
      </c>
      <c r="G38" s="24" t="s">
        <v>99</v>
      </c>
      <c r="H38" s="18">
        <v>2023</v>
      </c>
      <c r="I38" s="19"/>
      <c r="J38" s="78"/>
      <c r="K38" s="89"/>
      <c r="L38" s="84"/>
      <c r="M38" s="84"/>
      <c r="N38" s="84"/>
      <c r="O38" s="84"/>
      <c r="P38" s="20">
        <f>L38+M38+N38+O38</f>
        <v>0</v>
      </c>
      <c r="Q38" s="23" t="str">
        <f t="shared" si="0"/>
        <v>🔴 Insufficient</v>
      </c>
      <c r="R38" s="21"/>
    </row>
    <row r="39" spans="1:18" ht="21.75" hidden="1" customHeight="1" x14ac:dyDescent="0.2">
      <c r="A39" s="26">
        <v>26</v>
      </c>
      <c r="B39" s="26" t="s">
        <v>306</v>
      </c>
      <c r="C39" s="14" t="s">
        <v>307</v>
      </c>
      <c r="D39" s="15" t="s">
        <v>310</v>
      </c>
      <c r="E39" s="84"/>
      <c r="F39" s="84" t="s">
        <v>296</v>
      </c>
      <c r="G39" s="24" t="s">
        <v>99</v>
      </c>
      <c r="H39" s="18">
        <v>2023</v>
      </c>
      <c r="I39" s="19"/>
      <c r="J39" s="78"/>
      <c r="K39" s="89"/>
      <c r="L39" s="84"/>
      <c r="M39" s="84"/>
      <c r="N39" s="84"/>
      <c r="O39" s="84"/>
      <c r="P39" s="20">
        <f>L39+M39+N39+O39</f>
        <v>0</v>
      </c>
      <c r="Q39" s="23" t="str">
        <f t="shared" si="0"/>
        <v>🔴 Insufficient</v>
      </c>
      <c r="R39" s="21"/>
    </row>
    <row r="40" spans="1:18" ht="21.75" hidden="1" customHeight="1" x14ac:dyDescent="0.2">
      <c r="A40" s="26">
        <v>26</v>
      </c>
      <c r="B40" s="26" t="s">
        <v>306</v>
      </c>
      <c r="C40" s="14" t="s">
        <v>307</v>
      </c>
      <c r="D40" s="15" t="s">
        <v>310</v>
      </c>
      <c r="E40" s="84"/>
      <c r="F40" s="84" t="s">
        <v>526</v>
      </c>
      <c r="G40" s="24" t="s">
        <v>99</v>
      </c>
      <c r="H40" s="18">
        <v>2022</v>
      </c>
      <c r="I40" s="19"/>
      <c r="J40" s="78"/>
      <c r="K40" s="89"/>
      <c r="L40" s="84"/>
      <c r="M40" s="84"/>
      <c r="N40" s="84"/>
      <c r="O40" s="84"/>
      <c r="P40" s="20">
        <f>L40+M40+N40+O40</f>
        <v>0</v>
      </c>
      <c r="Q40" s="23" t="str">
        <f t="shared" si="0"/>
        <v>🔴 Insufficient</v>
      </c>
      <c r="R40" s="21"/>
    </row>
    <row r="41" spans="1:18" ht="21.75" hidden="1" customHeight="1" x14ac:dyDescent="0.2">
      <c r="A41" s="26">
        <v>26</v>
      </c>
      <c r="B41" s="26" t="s">
        <v>306</v>
      </c>
      <c r="C41" s="14" t="s">
        <v>307</v>
      </c>
      <c r="D41" s="15" t="s">
        <v>310</v>
      </c>
      <c r="E41" s="84"/>
      <c r="F41" s="84" t="s">
        <v>296</v>
      </c>
      <c r="G41" s="24" t="s">
        <v>99</v>
      </c>
      <c r="H41" s="18">
        <v>2022</v>
      </c>
      <c r="I41" s="19"/>
      <c r="J41" s="78"/>
      <c r="K41" s="89"/>
      <c r="L41" s="84"/>
      <c r="M41" s="84"/>
      <c r="N41" s="84"/>
      <c r="O41" s="84"/>
      <c r="P41" s="20">
        <f>L41+M41+N41+O41</f>
        <v>0</v>
      </c>
      <c r="Q41" s="23" t="str">
        <f t="shared" si="0"/>
        <v>🔴 Insufficient</v>
      </c>
      <c r="R41" s="21"/>
    </row>
    <row r="42" spans="1:18" ht="21.75" hidden="1" customHeight="1" x14ac:dyDescent="0.2">
      <c r="A42" s="26">
        <v>26</v>
      </c>
      <c r="B42" s="26" t="s">
        <v>306</v>
      </c>
      <c r="C42" s="14" t="s">
        <v>307</v>
      </c>
      <c r="D42" s="15" t="s">
        <v>310</v>
      </c>
      <c r="E42" s="84"/>
      <c r="F42" s="84" t="s">
        <v>526</v>
      </c>
      <c r="G42" s="24" t="s">
        <v>99</v>
      </c>
      <c r="H42" s="18">
        <v>2021</v>
      </c>
      <c r="I42" s="19"/>
      <c r="J42" s="78"/>
      <c r="K42" s="89"/>
      <c r="L42" s="84"/>
      <c r="M42" s="84"/>
      <c r="N42" s="84"/>
      <c r="O42" s="84"/>
      <c r="P42" s="20">
        <f>L42+M42+N42+O42</f>
        <v>0</v>
      </c>
      <c r="Q42" s="23" t="str">
        <f t="shared" si="0"/>
        <v>🔴 Insufficient</v>
      </c>
      <c r="R42" s="21"/>
    </row>
    <row r="43" spans="1:18" ht="21.75" hidden="1" customHeight="1" x14ac:dyDescent="0.2">
      <c r="A43" s="26">
        <v>26</v>
      </c>
      <c r="B43" s="26" t="s">
        <v>306</v>
      </c>
      <c r="C43" s="14" t="s">
        <v>307</v>
      </c>
      <c r="D43" s="15" t="s">
        <v>310</v>
      </c>
      <c r="E43" s="84"/>
      <c r="F43" s="84" t="s">
        <v>296</v>
      </c>
      <c r="G43" s="24" t="s">
        <v>99</v>
      </c>
      <c r="H43" s="18">
        <v>2021</v>
      </c>
      <c r="I43" s="19"/>
      <c r="J43" s="78"/>
      <c r="K43" s="89"/>
      <c r="L43" s="84"/>
      <c r="M43" s="84"/>
      <c r="N43" s="84"/>
      <c r="O43" s="84"/>
      <c r="P43" s="20">
        <f>L43+M43+N43+O43</f>
        <v>0</v>
      </c>
      <c r="Q43" s="23" t="str">
        <f t="shared" si="0"/>
        <v>🔴 Insufficient</v>
      </c>
      <c r="R43" s="21"/>
    </row>
    <row r="44" spans="1:18" ht="21.75" hidden="1" customHeight="1" x14ac:dyDescent="0.2">
      <c r="A44" s="26">
        <v>26</v>
      </c>
      <c r="B44" s="26" t="s">
        <v>306</v>
      </c>
      <c r="C44" s="14" t="s">
        <v>307</v>
      </c>
      <c r="D44" s="15" t="s">
        <v>310</v>
      </c>
      <c r="E44" s="84"/>
      <c r="F44" s="84" t="s">
        <v>526</v>
      </c>
      <c r="G44" s="24" t="s">
        <v>99</v>
      </c>
      <c r="H44" s="18">
        <v>2020</v>
      </c>
      <c r="I44" s="19"/>
      <c r="J44" s="78"/>
      <c r="K44" s="89"/>
      <c r="L44" s="84"/>
      <c r="M44" s="84"/>
      <c r="N44" s="84"/>
      <c r="O44" s="84"/>
      <c r="P44" s="20">
        <f>L44+M44+N44+O44</f>
        <v>0</v>
      </c>
      <c r="Q44" s="23" t="str">
        <f t="shared" si="0"/>
        <v>🔴 Insufficient</v>
      </c>
      <c r="R44" s="21"/>
    </row>
    <row r="45" spans="1:18" ht="21.75" hidden="1" customHeight="1" x14ac:dyDescent="0.2">
      <c r="A45" s="26">
        <v>26</v>
      </c>
      <c r="B45" s="26" t="s">
        <v>306</v>
      </c>
      <c r="C45" s="14" t="s">
        <v>307</v>
      </c>
      <c r="D45" s="15" t="s">
        <v>310</v>
      </c>
      <c r="E45" s="84"/>
      <c r="F45" s="84" t="s">
        <v>296</v>
      </c>
      <c r="G45" s="24" t="s">
        <v>99</v>
      </c>
      <c r="H45" s="18">
        <v>2020</v>
      </c>
      <c r="I45" s="19"/>
      <c r="J45" s="78"/>
      <c r="K45" s="89"/>
      <c r="L45" s="84"/>
      <c r="M45" s="84"/>
      <c r="N45" s="84"/>
      <c r="O45" s="84"/>
      <c r="P45" s="20">
        <f>L45+M45+N45+O45</f>
        <v>0</v>
      </c>
      <c r="Q45" s="23" t="str">
        <f t="shared" si="0"/>
        <v>🔴 Insufficient</v>
      </c>
      <c r="R45" s="21"/>
    </row>
    <row r="46" spans="1:18" ht="21.75" hidden="1" customHeight="1" x14ac:dyDescent="0.2">
      <c r="A46" s="26">
        <v>26</v>
      </c>
      <c r="B46" s="26" t="s">
        <v>306</v>
      </c>
      <c r="C46" s="14" t="s">
        <v>307</v>
      </c>
      <c r="D46" s="15" t="s">
        <v>310</v>
      </c>
      <c r="E46" s="84"/>
      <c r="F46" s="84" t="s">
        <v>526</v>
      </c>
      <c r="G46" s="24" t="s">
        <v>99</v>
      </c>
      <c r="H46" s="18">
        <v>2019</v>
      </c>
      <c r="I46" s="19"/>
      <c r="J46" s="78"/>
      <c r="K46" s="89"/>
      <c r="L46" s="84"/>
      <c r="M46" s="84"/>
      <c r="N46" s="84"/>
      <c r="O46" s="84"/>
      <c r="P46" s="20">
        <f>L46+M46+N46+O46</f>
        <v>0</v>
      </c>
      <c r="Q46" s="23" t="str">
        <f t="shared" si="0"/>
        <v>🔴 Insufficient</v>
      </c>
      <c r="R46" s="21"/>
    </row>
    <row r="47" spans="1:18" ht="21.75" hidden="1" customHeight="1" x14ac:dyDescent="0.2">
      <c r="A47" s="26">
        <v>26</v>
      </c>
      <c r="B47" s="26" t="s">
        <v>306</v>
      </c>
      <c r="C47" s="14" t="s">
        <v>307</v>
      </c>
      <c r="D47" s="15" t="s">
        <v>310</v>
      </c>
      <c r="E47" s="84"/>
      <c r="F47" s="84" t="s">
        <v>296</v>
      </c>
      <c r="G47" s="24" t="s">
        <v>99</v>
      </c>
      <c r="H47" s="18">
        <v>2019</v>
      </c>
      <c r="I47" s="19"/>
      <c r="J47" s="78"/>
      <c r="K47" s="89"/>
      <c r="L47" s="84"/>
      <c r="M47" s="84"/>
      <c r="N47" s="84"/>
      <c r="O47" s="84"/>
      <c r="P47" s="20">
        <f>L47+M47+N47+O47</f>
        <v>0</v>
      </c>
      <c r="Q47" s="23" t="str">
        <f t="shared" si="0"/>
        <v>🔴 Insufficient</v>
      </c>
      <c r="R47" s="21"/>
    </row>
    <row r="48" spans="1:18" ht="21.75" customHeight="1" x14ac:dyDescent="0.2">
      <c r="A48" s="26">
        <v>32</v>
      </c>
      <c r="B48" s="26" t="s">
        <v>306</v>
      </c>
      <c r="C48" s="14" t="s">
        <v>558</v>
      </c>
      <c r="D48" s="27" t="s">
        <v>220</v>
      </c>
      <c r="E48" s="84" t="s">
        <v>313</v>
      </c>
      <c r="F48" s="84" t="s">
        <v>525</v>
      </c>
      <c r="G48" s="24"/>
      <c r="H48" s="18">
        <v>2024</v>
      </c>
      <c r="I48" s="19"/>
      <c r="J48" s="78"/>
      <c r="K48" s="89"/>
      <c r="L48" s="84">
        <v>25</v>
      </c>
      <c r="M48" s="84">
        <v>25</v>
      </c>
      <c r="N48" s="84">
        <v>25</v>
      </c>
      <c r="O48" s="84">
        <v>15</v>
      </c>
      <c r="P48" s="20">
        <f>L48+M48+N48+O48</f>
        <v>90</v>
      </c>
      <c r="Q48" s="23" t="str">
        <f t="shared" si="0"/>
        <v>✅ High Quality</v>
      </c>
      <c r="R48" s="21"/>
    </row>
    <row r="49" spans="1:18" ht="21.75" customHeight="1" x14ac:dyDescent="0.2">
      <c r="A49" s="26">
        <v>32</v>
      </c>
      <c r="B49" s="26" t="s">
        <v>306</v>
      </c>
      <c r="C49" s="14" t="s">
        <v>558</v>
      </c>
      <c r="D49" s="27" t="s">
        <v>220</v>
      </c>
      <c r="E49" s="84" t="s">
        <v>313</v>
      </c>
      <c r="F49" s="84" t="s">
        <v>526</v>
      </c>
      <c r="G49" s="24"/>
      <c r="H49" s="18">
        <v>2023</v>
      </c>
      <c r="I49" s="19"/>
      <c r="J49" s="78"/>
      <c r="K49" s="89"/>
      <c r="L49" s="84">
        <v>25</v>
      </c>
      <c r="M49" s="84">
        <v>25</v>
      </c>
      <c r="N49" s="84">
        <v>25</v>
      </c>
      <c r="O49" s="84">
        <v>15</v>
      </c>
      <c r="P49" s="20">
        <f>L49+M49+N49+O49</f>
        <v>90</v>
      </c>
      <c r="Q49" s="23" t="str">
        <f t="shared" si="0"/>
        <v>✅ High Quality</v>
      </c>
      <c r="R49" s="21"/>
    </row>
    <row r="50" spans="1:18" ht="46" customHeight="1" x14ac:dyDescent="0.2">
      <c r="A50" s="26">
        <v>32</v>
      </c>
      <c r="B50" s="26" t="s">
        <v>306</v>
      </c>
      <c r="C50" s="14" t="s">
        <v>558</v>
      </c>
      <c r="D50" s="27" t="s">
        <v>220</v>
      </c>
      <c r="E50" s="84" t="s">
        <v>313</v>
      </c>
      <c r="F50" s="84" t="s">
        <v>296</v>
      </c>
      <c r="G50" s="24"/>
      <c r="H50" s="18">
        <v>2023</v>
      </c>
      <c r="I50" s="19"/>
      <c r="J50" s="78"/>
      <c r="K50" s="89"/>
      <c r="L50" s="84">
        <v>25</v>
      </c>
      <c r="M50" s="84">
        <v>25</v>
      </c>
      <c r="N50" s="84">
        <v>25</v>
      </c>
      <c r="O50" s="84">
        <v>15</v>
      </c>
      <c r="P50" s="20">
        <f>L50+M50+N50+O50</f>
        <v>90</v>
      </c>
      <c r="Q50" s="23" t="str">
        <f t="shared" si="0"/>
        <v>✅ High Quality</v>
      </c>
      <c r="R50" s="21"/>
    </row>
    <row r="51" spans="1:18" ht="46" customHeight="1" x14ac:dyDescent="0.2">
      <c r="A51" s="26">
        <v>32</v>
      </c>
      <c r="B51" s="26" t="s">
        <v>306</v>
      </c>
      <c r="C51" s="14" t="s">
        <v>558</v>
      </c>
      <c r="D51" s="27" t="s">
        <v>220</v>
      </c>
      <c r="E51" s="84" t="s">
        <v>313</v>
      </c>
      <c r="F51" s="84" t="s">
        <v>526</v>
      </c>
      <c r="G51" s="24"/>
      <c r="H51" s="18">
        <v>2022</v>
      </c>
      <c r="I51" s="19"/>
      <c r="J51" s="78"/>
      <c r="K51" s="89"/>
      <c r="L51" s="84">
        <v>25</v>
      </c>
      <c r="M51" s="84">
        <v>25</v>
      </c>
      <c r="N51" s="84">
        <v>25</v>
      </c>
      <c r="O51" s="84">
        <v>15</v>
      </c>
      <c r="P51" s="20">
        <f>L51+M51+N51+O51</f>
        <v>90</v>
      </c>
      <c r="Q51" s="23" t="str">
        <f t="shared" si="0"/>
        <v>✅ High Quality</v>
      </c>
      <c r="R51" s="21"/>
    </row>
    <row r="52" spans="1:18" ht="46" customHeight="1" x14ac:dyDescent="0.2">
      <c r="A52" s="26">
        <v>32</v>
      </c>
      <c r="B52" s="26" t="s">
        <v>306</v>
      </c>
      <c r="C52" s="14" t="s">
        <v>558</v>
      </c>
      <c r="D52" s="27" t="s">
        <v>220</v>
      </c>
      <c r="E52" s="84" t="s">
        <v>313</v>
      </c>
      <c r="F52" s="84" t="s">
        <v>296</v>
      </c>
      <c r="G52" s="24"/>
      <c r="H52" s="18">
        <v>2022</v>
      </c>
      <c r="I52" s="19"/>
      <c r="J52" s="78"/>
      <c r="K52" s="89"/>
      <c r="L52" s="84">
        <v>25</v>
      </c>
      <c r="M52" s="84">
        <v>25</v>
      </c>
      <c r="N52" s="84">
        <v>25</v>
      </c>
      <c r="O52" s="84">
        <v>15</v>
      </c>
      <c r="P52" s="20">
        <f>L52+M52+N52+O52</f>
        <v>90</v>
      </c>
      <c r="Q52" s="23" t="str">
        <f t="shared" si="0"/>
        <v>✅ High Quality</v>
      </c>
      <c r="R52" s="21"/>
    </row>
    <row r="53" spans="1:18" ht="46" customHeight="1" x14ac:dyDescent="0.2">
      <c r="A53" s="26">
        <v>32</v>
      </c>
      <c r="B53" s="26" t="s">
        <v>306</v>
      </c>
      <c r="C53" s="14" t="s">
        <v>558</v>
      </c>
      <c r="D53" s="27" t="s">
        <v>220</v>
      </c>
      <c r="E53" s="84" t="s">
        <v>313</v>
      </c>
      <c r="F53" s="84" t="s">
        <v>526</v>
      </c>
      <c r="G53" s="24"/>
      <c r="H53" s="18">
        <v>2021</v>
      </c>
      <c r="I53" s="19"/>
      <c r="J53" s="78"/>
      <c r="K53" s="89"/>
      <c r="L53" s="84">
        <v>25</v>
      </c>
      <c r="M53" s="84">
        <v>25</v>
      </c>
      <c r="N53" s="84">
        <v>25</v>
      </c>
      <c r="O53" s="84">
        <v>15</v>
      </c>
      <c r="P53" s="20">
        <f>L53+M53+N53+O53</f>
        <v>90</v>
      </c>
      <c r="Q53" s="23" t="str">
        <f t="shared" si="0"/>
        <v>✅ High Quality</v>
      </c>
      <c r="R53" s="21"/>
    </row>
    <row r="54" spans="1:18" ht="46" customHeight="1" x14ac:dyDescent="0.2">
      <c r="A54" s="26">
        <v>32</v>
      </c>
      <c r="B54" s="26" t="s">
        <v>306</v>
      </c>
      <c r="C54" s="14" t="s">
        <v>558</v>
      </c>
      <c r="D54" s="27" t="s">
        <v>220</v>
      </c>
      <c r="E54" s="84" t="s">
        <v>313</v>
      </c>
      <c r="F54" s="84" t="s">
        <v>296</v>
      </c>
      <c r="G54" s="24"/>
      <c r="H54" s="18">
        <v>2021</v>
      </c>
      <c r="I54" s="19"/>
      <c r="J54" s="78"/>
      <c r="K54" s="89"/>
      <c r="L54" s="84">
        <v>25</v>
      </c>
      <c r="M54" s="84">
        <v>25</v>
      </c>
      <c r="N54" s="84">
        <v>25</v>
      </c>
      <c r="O54" s="84">
        <v>15</v>
      </c>
      <c r="P54" s="20">
        <f>L54+M54+N54+O54</f>
        <v>90</v>
      </c>
      <c r="Q54" s="23" t="str">
        <f t="shared" si="0"/>
        <v>✅ High Quality</v>
      </c>
      <c r="R54" s="21"/>
    </row>
    <row r="55" spans="1:18" ht="21.75" customHeight="1" x14ac:dyDescent="0.2">
      <c r="A55" s="26">
        <v>32</v>
      </c>
      <c r="B55" s="26" t="s">
        <v>306</v>
      </c>
      <c r="C55" s="14" t="s">
        <v>558</v>
      </c>
      <c r="D55" s="27" t="s">
        <v>220</v>
      </c>
      <c r="E55" s="84" t="s">
        <v>313</v>
      </c>
      <c r="F55" s="84" t="s">
        <v>526</v>
      </c>
      <c r="G55" s="24"/>
      <c r="H55" s="18">
        <v>2020</v>
      </c>
      <c r="I55" s="19"/>
      <c r="J55" s="78"/>
      <c r="K55" s="89"/>
      <c r="L55" s="84">
        <v>25</v>
      </c>
      <c r="M55" s="84">
        <v>25</v>
      </c>
      <c r="N55" s="84">
        <v>25</v>
      </c>
      <c r="O55" s="84">
        <v>15</v>
      </c>
      <c r="P55" s="20">
        <f>L55+M55+N55+O55</f>
        <v>90</v>
      </c>
      <c r="Q55" s="23" t="str">
        <f t="shared" si="0"/>
        <v>✅ High Quality</v>
      </c>
      <c r="R55" s="21"/>
    </row>
    <row r="56" spans="1:18" ht="21.75" customHeight="1" x14ac:dyDescent="0.2">
      <c r="A56" s="26">
        <v>32</v>
      </c>
      <c r="B56" s="26" t="s">
        <v>306</v>
      </c>
      <c r="C56" s="14" t="s">
        <v>558</v>
      </c>
      <c r="D56" s="27" t="s">
        <v>220</v>
      </c>
      <c r="E56" s="84" t="s">
        <v>313</v>
      </c>
      <c r="F56" s="84" t="s">
        <v>296</v>
      </c>
      <c r="G56" s="24"/>
      <c r="H56" s="18">
        <v>2020</v>
      </c>
      <c r="I56" s="19"/>
      <c r="J56" s="78"/>
      <c r="K56" s="89"/>
      <c r="L56" s="84">
        <v>25</v>
      </c>
      <c r="M56" s="84">
        <v>25</v>
      </c>
      <c r="N56" s="84">
        <v>25</v>
      </c>
      <c r="O56" s="84">
        <v>15</v>
      </c>
      <c r="P56" s="20">
        <f>L56+M56+N56+O56</f>
        <v>90</v>
      </c>
      <c r="Q56" s="23" t="str">
        <f t="shared" si="0"/>
        <v>✅ High Quality</v>
      </c>
      <c r="R56" s="21"/>
    </row>
    <row r="57" spans="1:18" ht="21.75" customHeight="1" x14ac:dyDescent="0.2">
      <c r="A57" s="26">
        <v>32</v>
      </c>
      <c r="B57" s="26" t="s">
        <v>306</v>
      </c>
      <c r="C57" s="14" t="s">
        <v>558</v>
      </c>
      <c r="D57" s="27" t="s">
        <v>220</v>
      </c>
      <c r="E57" s="84" t="s">
        <v>313</v>
      </c>
      <c r="F57" s="84" t="s">
        <v>526</v>
      </c>
      <c r="G57" s="24"/>
      <c r="H57" s="18">
        <v>2019</v>
      </c>
      <c r="I57" s="19"/>
      <c r="J57" s="78"/>
      <c r="K57" s="89"/>
      <c r="L57" s="84">
        <v>25</v>
      </c>
      <c r="M57" s="84">
        <v>25</v>
      </c>
      <c r="N57" s="84">
        <v>25</v>
      </c>
      <c r="O57" s="84">
        <v>15</v>
      </c>
      <c r="P57" s="20">
        <f>L57+M57+N57+O57</f>
        <v>90</v>
      </c>
      <c r="Q57" s="23" t="str">
        <f t="shared" si="0"/>
        <v>✅ High Quality</v>
      </c>
      <c r="R57" s="21"/>
    </row>
    <row r="58" spans="1:18" ht="21.75" customHeight="1" x14ac:dyDescent="0.2">
      <c r="A58" s="26">
        <v>32</v>
      </c>
      <c r="B58" s="26" t="s">
        <v>306</v>
      </c>
      <c r="C58" s="14" t="s">
        <v>558</v>
      </c>
      <c r="D58" s="27" t="s">
        <v>220</v>
      </c>
      <c r="E58" s="84" t="s">
        <v>313</v>
      </c>
      <c r="F58" s="84" t="s">
        <v>296</v>
      </c>
      <c r="G58" s="24"/>
      <c r="H58" s="18">
        <v>2019</v>
      </c>
      <c r="I58" s="19"/>
      <c r="J58" s="78"/>
      <c r="K58" s="89"/>
      <c r="L58" s="84">
        <v>25</v>
      </c>
      <c r="M58" s="84">
        <v>25</v>
      </c>
      <c r="N58" s="84">
        <v>25</v>
      </c>
      <c r="O58" s="84">
        <v>15</v>
      </c>
      <c r="P58" s="20">
        <f>L58+M58+N58+O58</f>
        <v>90</v>
      </c>
      <c r="Q58" s="23" t="str">
        <f t="shared" si="0"/>
        <v>✅ High Quality</v>
      </c>
      <c r="R58" s="21"/>
    </row>
    <row r="59" spans="1:18" ht="21.75" customHeight="1" x14ac:dyDescent="0.2">
      <c r="A59" s="26">
        <v>27</v>
      </c>
      <c r="B59" s="26" t="s">
        <v>306</v>
      </c>
      <c r="C59" s="22" t="s">
        <v>307</v>
      </c>
      <c r="D59" s="23" t="s">
        <v>311</v>
      </c>
      <c r="E59" s="85">
        <v>0.43</v>
      </c>
      <c r="F59" s="84" t="s">
        <v>525</v>
      </c>
      <c r="G59" s="17" t="s">
        <v>99</v>
      </c>
      <c r="H59" s="18">
        <v>2024</v>
      </c>
      <c r="I59" s="19"/>
      <c r="J59" s="78"/>
      <c r="K59" s="89"/>
      <c r="L59" s="84">
        <v>25</v>
      </c>
      <c r="M59" s="84">
        <v>25</v>
      </c>
      <c r="N59" s="84">
        <v>25</v>
      </c>
      <c r="O59" s="84">
        <v>15</v>
      </c>
      <c r="P59" s="20">
        <f>L59+M59+N59+O59</f>
        <v>90</v>
      </c>
      <c r="Q59" s="23" t="str">
        <f t="shared" si="0"/>
        <v>✅ High Quality</v>
      </c>
      <c r="R59" s="21"/>
    </row>
    <row r="60" spans="1:18" ht="21.75" hidden="1" customHeight="1" x14ac:dyDescent="0.2">
      <c r="A60" s="26">
        <v>27</v>
      </c>
      <c r="B60" s="26" t="s">
        <v>306</v>
      </c>
      <c r="C60" s="22" t="s">
        <v>307</v>
      </c>
      <c r="D60" s="23" t="s">
        <v>311</v>
      </c>
      <c r="E60" s="85"/>
      <c r="F60" s="84" t="s">
        <v>526</v>
      </c>
      <c r="G60" s="17" t="s">
        <v>99</v>
      </c>
      <c r="H60" s="18">
        <v>2023</v>
      </c>
      <c r="I60" s="19"/>
      <c r="J60" s="78"/>
      <c r="K60" s="89"/>
      <c r="L60" s="84">
        <v>25</v>
      </c>
      <c r="M60" s="84">
        <v>25</v>
      </c>
      <c r="N60" s="84">
        <v>25</v>
      </c>
      <c r="O60" s="84">
        <v>15</v>
      </c>
      <c r="P60" s="20">
        <f>L60+M60+N60+O60</f>
        <v>90</v>
      </c>
      <c r="Q60" s="23" t="str">
        <f t="shared" si="0"/>
        <v>✅ High Quality</v>
      </c>
      <c r="R60" s="21"/>
    </row>
    <row r="61" spans="1:18" ht="21.75" hidden="1" customHeight="1" x14ac:dyDescent="0.2">
      <c r="A61" s="26">
        <v>27</v>
      </c>
      <c r="B61" s="26" t="s">
        <v>306</v>
      </c>
      <c r="C61" s="22" t="s">
        <v>307</v>
      </c>
      <c r="D61" s="23" t="s">
        <v>311</v>
      </c>
      <c r="E61" s="85"/>
      <c r="F61" s="84" t="s">
        <v>296</v>
      </c>
      <c r="G61" s="17" t="s">
        <v>99</v>
      </c>
      <c r="H61" s="18">
        <v>2023</v>
      </c>
      <c r="I61" s="19"/>
      <c r="J61" s="78"/>
      <c r="K61" s="89"/>
      <c r="L61" s="84">
        <v>25</v>
      </c>
      <c r="M61" s="84">
        <v>25</v>
      </c>
      <c r="N61" s="84">
        <v>25</v>
      </c>
      <c r="O61" s="84">
        <v>15</v>
      </c>
      <c r="P61" s="20">
        <f>L61+M61+N61+O61</f>
        <v>90</v>
      </c>
      <c r="Q61" s="23" t="str">
        <f t="shared" si="0"/>
        <v>✅ High Quality</v>
      </c>
      <c r="R61" s="21"/>
    </row>
    <row r="62" spans="1:18" ht="21.75" hidden="1" customHeight="1" x14ac:dyDescent="0.2">
      <c r="A62" s="26">
        <v>27</v>
      </c>
      <c r="B62" s="26" t="s">
        <v>306</v>
      </c>
      <c r="C62" s="22" t="s">
        <v>307</v>
      </c>
      <c r="D62" s="23" t="s">
        <v>311</v>
      </c>
      <c r="E62" s="85"/>
      <c r="F62" s="84" t="s">
        <v>526</v>
      </c>
      <c r="G62" s="17" t="s">
        <v>99</v>
      </c>
      <c r="H62" s="18">
        <v>2022</v>
      </c>
      <c r="I62" s="19"/>
      <c r="J62" s="78"/>
      <c r="K62" s="89"/>
      <c r="L62" s="84">
        <v>25</v>
      </c>
      <c r="M62" s="84">
        <v>25</v>
      </c>
      <c r="N62" s="84">
        <v>25</v>
      </c>
      <c r="O62" s="84">
        <v>15</v>
      </c>
      <c r="P62" s="20">
        <f>L62+M62+N62+O62</f>
        <v>90</v>
      </c>
      <c r="Q62" s="23" t="str">
        <f t="shared" si="0"/>
        <v>✅ High Quality</v>
      </c>
      <c r="R62" s="21"/>
    </row>
    <row r="63" spans="1:18" ht="46" hidden="1" customHeight="1" x14ac:dyDescent="0.2">
      <c r="A63" s="26">
        <v>27</v>
      </c>
      <c r="B63" s="26" t="s">
        <v>306</v>
      </c>
      <c r="C63" s="22" t="s">
        <v>307</v>
      </c>
      <c r="D63" s="23" t="s">
        <v>311</v>
      </c>
      <c r="E63" s="85"/>
      <c r="F63" s="84" t="s">
        <v>296</v>
      </c>
      <c r="G63" s="17" t="s">
        <v>99</v>
      </c>
      <c r="H63" s="18">
        <v>2022</v>
      </c>
      <c r="I63" s="19"/>
      <c r="J63" s="78"/>
      <c r="K63" s="89"/>
      <c r="L63" s="84">
        <v>25</v>
      </c>
      <c r="M63" s="84">
        <v>25</v>
      </c>
      <c r="N63" s="84">
        <v>25</v>
      </c>
      <c r="O63" s="84">
        <v>15</v>
      </c>
      <c r="P63" s="20">
        <f>L63+M63+N63+O63</f>
        <v>90</v>
      </c>
      <c r="Q63" s="23" t="str">
        <f t="shared" si="0"/>
        <v>✅ High Quality</v>
      </c>
      <c r="R63" s="21"/>
    </row>
    <row r="64" spans="1:18" ht="46" hidden="1" customHeight="1" x14ac:dyDescent="0.2">
      <c r="A64" s="26">
        <v>27</v>
      </c>
      <c r="B64" s="26" t="s">
        <v>306</v>
      </c>
      <c r="C64" s="22" t="s">
        <v>307</v>
      </c>
      <c r="D64" s="23" t="s">
        <v>311</v>
      </c>
      <c r="E64" s="85"/>
      <c r="F64" s="84" t="s">
        <v>526</v>
      </c>
      <c r="G64" s="17" t="s">
        <v>99</v>
      </c>
      <c r="H64" s="18">
        <v>2021</v>
      </c>
      <c r="I64" s="19"/>
      <c r="J64" s="78"/>
      <c r="K64" s="89"/>
      <c r="L64" s="84">
        <v>25</v>
      </c>
      <c r="M64" s="84">
        <v>25</v>
      </c>
      <c r="N64" s="84">
        <v>25</v>
      </c>
      <c r="O64" s="84">
        <v>15</v>
      </c>
      <c r="P64" s="20">
        <f>L64+M64+N64+O64</f>
        <v>90</v>
      </c>
      <c r="Q64" s="23" t="str">
        <f t="shared" si="0"/>
        <v>✅ High Quality</v>
      </c>
      <c r="R64" s="21"/>
    </row>
    <row r="65" spans="1:18" ht="46" hidden="1" customHeight="1" x14ac:dyDescent="0.2">
      <c r="A65" s="26">
        <v>27</v>
      </c>
      <c r="B65" s="26" t="s">
        <v>306</v>
      </c>
      <c r="C65" s="22" t="s">
        <v>307</v>
      </c>
      <c r="D65" s="23" t="s">
        <v>311</v>
      </c>
      <c r="E65" s="85"/>
      <c r="F65" s="84" t="s">
        <v>296</v>
      </c>
      <c r="G65" s="17" t="s">
        <v>99</v>
      </c>
      <c r="H65" s="18">
        <v>2021</v>
      </c>
      <c r="I65" s="19"/>
      <c r="J65" s="78"/>
      <c r="K65" s="89"/>
      <c r="L65" s="84">
        <v>25</v>
      </c>
      <c r="M65" s="84">
        <v>25</v>
      </c>
      <c r="N65" s="84">
        <v>25</v>
      </c>
      <c r="O65" s="84">
        <v>15</v>
      </c>
      <c r="P65" s="20">
        <f>L65+M65+N65+O65</f>
        <v>90</v>
      </c>
      <c r="Q65" s="23" t="str">
        <f t="shared" si="0"/>
        <v>✅ High Quality</v>
      </c>
      <c r="R65" s="21"/>
    </row>
    <row r="66" spans="1:18" ht="46" hidden="1" customHeight="1" x14ac:dyDescent="0.2">
      <c r="A66" s="26">
        <v>27</v>
      </c>
      <c r="B66" s="26" t="s">
        <v>306</v>
      </c>
      <c r="C66" s="22" t="s">
        <v>307</v>
      </c>
      <c r="D66" s="23" t="s">
        <v>311</v>
      </c>
      <c r="E66" s="85"/>
      <c r="F66" s="84" t="s">
        <v>526</v>
      </c>
      <c r="G66" s="17" t="s">
        <v>99</v>
      </c>
      <c r="H66" s="18">
        <v>2020</v>
      </c>
      <c r="I66" s="19"/>
      <c r="J66" s="78"/>
      <c r="K66" s="89"/>
      <c r="L66" s="84">
        <v>25</v>
      </c>
      <c r="M66" s="84">
        <v>25</v>
      </c>
      <c r="N66" s="84">
        <v>25</v>
      </c>
      <c r="O66" s="84">
        <v>15</v>
      </c>
      <c r="P66" s="20">
        <f>L66+M66+N66+O66</f>
        <v>90</v>
      </c>
      <c r="Q66" s="23" t="str">
        <f t="shared" si="0"/>
        <v>✅ High Quality</v>
      </c>
      <c r="R66" s="21"/>
    </row>
    <row r="67" spans="1:18" ht="46" hidden="1" customHeight="1" x14ac:dyDescent="0.2">
      <c r="A67" s="26">
        <v>27</v>
      </c>
      <c r="B67" s="26" t="s">
        <v>306</v>
      </c>
      <c r="C67" s="22" t="s">
        <v>307</v>
      </c>
      <c r="D67" s="23" t="s">
        <v>311</v>
      </c>
      <c r="E67" s="85"/>
      <c r="F67" s="84" t="s">
        <v>296</v>
      </c>
      <c r="G67" s="17" t="s">
        <v>99</v>
      </c>
      <c r="H67" s="18">
        <v>2020</v>
      </c>
      <c r="I67" s="19"/>
      <c r="J67" s="78"/>
      <c r="K67" s="89"/>
      <c r="L67" s="84">
        <v>25</v>
      </c>
      <c r="M67" s="84">
        <v>25</v>
      </c>
      <c r="N67" s="84">
        <v>25</v>
      </c>
      <c r="O67" s="84">
        <v>15</v>
      </c>
      <c r="P67" s="20">
        <f>L67+M67+N67+O67</f>
        <v>90</v>
      </c>
      <c r="Q67" s="23" t="str">
        <f t="shared" si="0"/>
        <v>✅ High Quality</v>
      </c>
      <c r="R67" s="21"/>
    </row>
    <row r="68" spans="1:18" ht="46" hidden="1" customHeight="1" x14ac:dyDescent="0.2">
      <c r="A68" s="26">
        <v>27</v>
      </c>
      <c r="B68" s="26" t="s">
        <v>306</v>
      </c>
      <c r="C68" s="22" t="s">
        <v>307</v>
      </c>
      <c r="D68" s="23" t="s">
        <v>311</v>
      </c>
      <c r="E68" s="85"/>
      <c r="F68" s="84" t="s">
        <v>526</v>
      </c>
      <c r="G68" s="17" t="s">
        <v>99</v>
      </c>
      <c r="H68" s="18">
        <v>2019</v>
      </c>
      <c r="I68" s="19"/>
      <c r="J68" s="78"/>
      <c r="K68" s="89"/>
      <c r="L68" s="84">
        <v>25</v>
      </c>
      <c r="M68" s="84">
        <v>25</v>
      </c>
      <c r="N68" s="84">
        <v>25</v>
      </c>
      <c r="O68" s="84">
        <v>15</v>
      </c>
      <c r="P68" s="20">
        <f>L68+M68+N68+O68</f>
        <v>90</v>
      </c>
      <c r="Q68" s="23" t="str">
        <f t="shared" si="0"/>
        <v>✅ High Quality</v>
      </c>
      <c r="R68" s="21"/>
    </row>
    <row r="69" spans="1:18" ht="46" hidden="1" customHeight="1" x14ac:dyDescent="0.2">
      <c r="A69" s="26">
        <v>27</v>
      </c>
      <c r="B69" s="26" t="s">
        <v>306</v>
      </c>
      <c r="C69" s="22" t="s">
        <v>307</v>
      </c>
      <c r="D69" s="23" t="s">
        <v>311</v>
      </c>
      <c r="E69" s="85"/>
      <c r="F69" s="84" t="s">
        <v>296</v>
      </c>
      <c r="G69" s="17" t="s">
        <v>99</v>
      </c>
      <c r="H69" s="18">
        <v>2019</v>
      </c>
      <c r="I69" s="19"/>
      <c r="J69" s="78"/>
      <c r="K69" s="89"/>
      <c r="L69" s="84">
        <v>25</v>
      </c>
      <c r="M69" s="84">
        <v>25</v>
      </c>
      <c r="N69" s="84">
        <v>25</v>
      </c>
      <c r="O69" s="84">
        <v>15</v>
      </c>
      <c r="P69" s="20">
        <f>L69+M69+N69+O69</f>
        <v>90</v>
      </c>
      <c r="Q69" s="23" t="str">
        <f t="shared" ref="Q69:Q70" si="1">IF(P69&gt;=80,"✅ High Quality",IF(P69&gt;=60,"🟡 Acceptable",IF(P69&gt;=40,"⚠️ Use with Caution","🔴 Insufficient")))</f>
        <v>✅ High Quality</v>
      </c>
      <c r="R69" s="21"/>
    </row>
    <row r="70" spans="1:18" x14ac:dyDescent="0.2">
      <c r="A70" s="26">
        <v>27</v>
      </c>
      <c r="B70" s="26" t="s">
        <v>306</v>
      </c>
      <c r="C70" s="22" t="s">
        <v>307</v>
      </c>
      <c r="D70" s="23" t="s">
        <v>556</v>
      </c>
      <c r="E70" s="129">
        <v>63.5</v>
      </c>
      <c r="F70" s="84" t="s">
        <v>525</v>
      </c>
      <c r="G70" s="17" t="s">
        <v>557</v>
      </c>
      <c r="H70" s="18">
        <v>2024</v>
      </c>
      <c r="I70" s="19"/>
      <c r="J70" s="78"/>
      <c r="K70" s="89"/>
      <c r="L70" s="84">
        <v>25</v>
      </c>
      <c r="M70" s="84">
        <v>25</v>
      </c>
      <c r="N70" s="84">
        <v>25</v>
      </c>
      <c r="O70" s="84">
        <v>15</v>
      </c>
      <c r="P70" s="20">
        <f>L70+M70+N70+O70</f>
        <v>90</v>
      </c>
      <c r="Q70" s="23" t="str">
        <f t="shared" si="1"/>
        <v>✅ High Quality</v>
      </c>
      <c r="R70" s="21"/>
    </row>
  </sheetData>
  <autoFilter ref="A3:R70" xr:uid="{587FC2CA-AF5F-3A43-9574-2EC60A41D9FC}">
    <filterColumn colId="4">
      <customFilters>
        <customFilter operator="notEqual" val=" "/>
      </customFilters>
    </filterColumn>
    <sortState xmlns:xlrd2="http://schemas.microsoft.com/office/spreadsheetml/2017/richdata2" ref="A4:R58">
      <sortCondition ref="D3:D58"/>
    </sortState>
  </autoFilter>
  <mergeCells count="1">
    <mergeCell ref="A1:R1"/>
  </mergeCells>
  <conditionalFormatting sqref="P4:P70">
    <cfRule type="colorScale" priority="1">
      <colorScale>
        <cfvo type="num" val="0"/>
        <cfvo type="num" val="60"/>
        <cfvo type="num" val="100"/>
        <color rgb="FFFFAAAA"/>
        <color rgb="FFFFFF99"/>
        <color rgb="FF90EE90"/>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00F7-03BA-6643-A831-0C6D7771DC66}">
  <sheetPr filterMode="1">
    <tabColor rgb="FF2E7D4F"/>
  </sheetPr>
  <dimension ref="A1:Q70"/>
  <sheetViews>
    <sheetView zoomScale="150" workbookViewId="0">
      <selection activeCell="D31" sqref="D31"/>
    </sheetView>
  </sheetViews>
  <sheetFormatPr baseColWidth="10" defaultRowHeight="15" x14ac:dyDescent="0.2"/>
  <cols>
    <col min="1" max="1" width="13.6640625" customWidth="1"/>
    <col min="3" max="3" width="19.6640625" style="131" bestFit="1" customWidth="1"/>
    <col min="4" max="4" width="13.83203125" customWidth="1"/>
    <col min="6" max="6" width="14.6640625" bestFit="1" customWidth="1"/>
    <col min="7" max="7" width="14.6640625" customWidth="1"/>
    <col min="8" max="8" width="13.5" bestFit="1" customWidth="1"/>
    <col min="9" max="9" width="17.6640625" bestFit="1" customWidth="1"/>
    <col min="10" max="10" width="47.83203125" bestFit="1" customWidth="1"/>
    <col min="11" max="11" width="14.6640625" bestFit="1" customWidth="1"/>
  </cols>
  <sheetData>
    <row r="1" spans="1:17" ht="52" x14ac:dyDescent="0.2">
      <c r="A1" s="11" t="s">
        <v>554</v>
      </c>
      <c r="B1" s="11" t="s">
        <v>266</v>
      </c>
      <c r="C1" s="11" t="s">
        <v>46</v>
      </c>
      <c r="D1" s="11" t="s">
        <v>267</v>
      </c>
      <c r="E1" s="11" t="s">
        <v>527</v>
      </c>
      <c r="F1" s="11" t="s">
        <v>49</v>
      </c>
      <c r="G1" s="11" t="s">
        <v>268</v>
      </c>
      <c r="H1" s="11" t="s">
        <v>269</v>
      </c>
      <c r="I1" s="11" t="s">
        <v>270</v>
      </c>
      <c r="J1" s="11" t="s">
        <v>271</v>
      </c>
      <c r="K1" s="11" t="s">
        <v>272</v>
      </c>
      <c r="L1" s="11" t="s">
        <v>273</v>
      </c>
      <c r="M1" s="11" t="s">
        <v>274</v>
      </c>
      <c r="N1" s="11" t="s">
        <v>275</v>
      </c>
      <c r="O1" s="11" t="s">
        <v>276</v>
      </c>
      <c r="P1" s="11" t="s">
        <v>277</v>
      </c>
      <c r="Q1" s="11" t="s">
        <v>278</v>
      </c>
    </row>
    <row r="2" spans="1:17" hidden="1" x14ac:dyDescent="0.2">
      <c r="A2" s="134" t="s">
        <v>62</v>
      </c>
      <c r="B2" s="14" t="s">
        <v>547</v>
      </c>
      <c r="C2" s="15" t="s">
        <v>545</v>
      </c>
      <c r="D2" s="73">
        <v>14918000</v>
      </c>
      <c r="E2" s="74" t="s">
        <v>296</v>
      </c>
      <c r="F2" s="17" t="s">
        <v>546</v>
      </c>
      <c r="G2" s="18">
        <v>2024</v>
      </c>
      <c r="H2" s="71"/>
      <c r="I2" s="78"/>
      <c r="J2" s="71"/>
      <c r="K2" s="16">
        <v>25</v>
      </c>
      <c r="L2" s="16">
        <v>25</v>
      </c>
      <c r="M2" s="16">
        <v>25</v>
      </c>
      <c r="N2" s="16">
        <v>0</v>
      </c>
      <c r="O2" s="20">
        <f t="shared" ref="O2:O26" si="0">K2+L2+M2+N2</f>
        <v>75</v>
      </c>
      <c r="P2" s="14" t="str">
        <f t="shared" ref="P2:P26" si="1">IF(O2&gt;=80,"✅ High Quality",IF(O2&gt;=60,"🟡 Acceptable",IF(O2&gt;=40,"⚠️ Use with Caution","🔴 Insufficient")))</f>
        <v>🟡 Acceptable</v>
      </c>
      <c r="Q2" s="82"/>
    </row>
    <row r="3" spans="1:17" hidden="1" x14ac:dyDescent="0.2">
      <c r="A3" s="134" t="s">
        <v>62</v>
      </c>
      <c r="B3" s="14" t="s">
        <v>547</v>
      </c>
      <c r="C3" s="15" t="s">
        <v>545</v>
      </c>
      <c r="D3" s="73">
        <v>14539000</v>
      </c>
      <c r="E3" s="74" t="s">
        <v>296</v>
      </c>
      <c r="F3" s="17" t="s">
        <v>546</v>
      </c>
      <c r="G3" s="18">
        <v>2023</v>
      </c>
      <c r="H3" s="71"/>
      <c r="I3" s="78"/>
      <c r="J3" s="71"/>
      <c r="K3" s="16">
        <v>25</v>
      </c>
      <c r="L3" s="16">
        <v>25</v>
      </c>
      <c r="M3" s="16">
        <v>25</v>
      </c>
      <c r="N3" s="16">
        <v>0</v>
      </c>
      <c r="O3" s="20">
        <f t="shared" si="0"/>
        <v>75</v>
      </c>
      <c r="P3" s="14" t="str">
        <f t="shared" si="1"/>
        <v>🟡 Acceptable</v>
      </c>
      <c r="Q3" s="82"/>
    </row>
    <row r="4" spans="1:17" hidden="1" x14ac:dyDescent="0.2">
      <c r="A4" s="134" t="s">
        <v>62</v>
      </c>
      <c r="B4" s="14" t="s">
        <v>547</v>
      </c>
      <c r="C4" s="15" t="s">
        <v>545</v>
      </c>
      <c r="D4" s="73">
        <v>15373000</v>
      </c>
      <c r="E4" s="74" t="s">
        <v>296</v>
      </c>
      <c r="F4" s="17" t="s">
        <v>546</v>
      </c>
      <c r="G4" s="18">
        <v>2022</v>
      </c>
      <c r="H4" s="71"/>
      <c r="I4" s="78"/>
      <c r="J4" s="71"/>
      <c r="K4" s="16">
        <v>25</v>
      </c>
      <c r="L4" s="16">
        <v>25</v>
      </c>
      <c r="M4" s="16">
        <v>25</v>
      </c>
      <c r="N4" s="16">
        <v>0</v>
      </c>
      <c r="O4" s="20">
        <f t="shared" si="0"/>
        <v>75</v>
      </c>
      <c r="P4" s="14" t="str">
        <f t="shared" si="1"/>
        <v>🟡 Acceptable</v>
      </c>
      <c r="Q4" s="82"/>
    </row>
    <row r="5" spans="1:17" hidden="1" x14ac:dyDescent="0.2">
      <c r="A5" s="134" t="s">
        <v>62</v>
      </c>
      <c r="B5" s="14" t="s">
        <v>547</v>
      </c>
      <c r="C5" s="15" t="s">
        <v>545</v>
      </c>
      <c r="D5" s="73">
        <v>15337900</v>
      </c>
      <c r="E5" s="74" t="s">
        <v>296</v>
      </c>
      <c r="F5" s="17" t="s">
        <v>546</v>
      </c>
      <c r="G5" s="18">
        <v>2021</v>
      </c>
      <c r="H5" s="71"/>
      <c r="I5" s="78"/>
      <c r="J5" s="71"/>
      <c r="K5" s="16">
        <v>25</v>
      </c>
      <c r="L5" s="16">
        <v>25</v>
      </c>
      <c r="M5" s="16">
        <v>25</v>
      </c>
      <c r="N5" s="16">
        <v>0</v>
      </c>
      <c r="O5" s="20">
        <f t="shared" si="0"/>
        <v>75</v>
      </c>
      <c r="P5" s="14" t="str">
        <f t="shared" si="1"/>
        <v>🟡 Acceptable</v>
      </c>
      <c r="Q5" s="82"/>
    </row>
    <row r="6" spans="1:17" hidden="1" x14ac:dyDescent="0.2">
      <c r="A6" s="134" t="s">
        <v>62</v>
      </c>
      <c r="B6" s="14" t="s">
        <v>547</v>
      </c>
      <c r="C6" s="15" t="s">
        <v>545</v>
      </c>
      <c r="D6" s="73">
        <v>14510140</v>
      </c>
      <c r="E6" s="74" t="s">
        <v>296</v>
      </c>
      <c r="F6" s="17" t="s">
        <v>546</v>
      </c>
      <c r="G6" s="18">
        <v>2020</v>
      </c>
      <c r="H6" s="71"/>
      <c r="I6" s="78"/>
      <c r="J6" s="71"/>
      <c r="K6" s="16">
        <v>25</v>
      </c>
      <c r="L6" s="16">
        <v>25</v>
      </c>
      <c r="M6" s="16">
        <v>25</v>
      </c>
      <c r="N6" s="16">
        <v>0</v>
      </c>
      <c r="O6" s="20">
        <f t="shared" si="0"/>
        <v>75</v>
      </c>
      <c r="P6" s="14" t="str">
        <f t="shared" si="1"/>
        <v>🟡 Acceptable</v>
      </c>
      <c r="Q6" s="82"/>
    </row>
    <row r="7" spans="1:17" hidden="1" x14ac:dyDescent="0.2">
      <c r="A7" s="134" t="s">
        <v>62</v>
      </c>
      <c r="B7" s="14" t="s">
        <v>547</v>
      </c>
      <c r="C7" s="15" t="s">
        <v>545</v>
      </c>
      <c r="D7" s="73">
        <v>14350200</v>
      </c>
      <c r="E7" s="74" t="s">
        <v>296</v>
      </c>
      <c r="F7" s="17" t="s">
        <v>546</v>
      </c>
      <c r="G7" s="18">
        <v>2019</v>
      </c>
      <c r="H7" s="71"/>
      <c r="I7" s="78"/>
      <c r="J7" s="71"/>
      <c r="K7" s="16">
        <v>25</v>
      </c>
      <c r="L7" s="16">
        <v>25</v>
      </c>
      <c r="M7" s="16">
        <v>25</v>
      </c>
      <c r="N7" s="16">
        <v>0</v>
      </c>
      <c r="O7" s="20">
        <f t="shared" si="0"/>
        <v>75</v>
      </c>
      <c r="P7" s="14" t="str">
        <f t="shared" si="1"/>
        <v>🟡 Acceptable</v>
      </c>
      <c r="Q7" s="82"/>
    </row>
    <row r="8" spans="1:17" hidden="1" x14ac:dyDescent="0.2">
      <c r="A8" s="134" t="s">
        <v>62</v>
      </c>
      <c r="B8" s="14" t="s">
        <v>547</v>
      </c>
      <c r="C8" s="15" t="s">
        <v>550</v>
      </c>
      <c r="D8" s="73">
        <v>13021711</v>
      </c>
      <c r="E8" s="74" t="s">
        <v>526</v>
      </c>
      <c r="F8" s="17" t="s">
        <v>546</v>
      </c>
      <c r="G8" s="18">
        <v>2024</v>
      </c>
      <c r="H8" s="71"/>
      <c r="I8" s="78"/>
      <c r="J8" s="71"/>
      <c r="K8" s="16">
        <v>25</v>
      </c>
      <c r="L8" s="16">
        <v>25</v>
      </c>
      <c r="M8" s="16">
        <v>25</v>
      </c>
      <c r="N8" s="16">
        <v>0</v>
      </c>
      <c r="O8" s="20">
        <f t="shared" si="0"/>
        <v>75</v>
      </c>
      <c r="P8" s="14" t="str">
        <f t="shared" si="1"/>
        <v>🟡 Acceptable</v>
      </c>
      <c r="Q8" s="82"/>
    </row>
    <row r="9" spans="1:17" hidden="1" x14ac:dyDescent="0.2">
      <c r="A9" s="134" t="s">
        <v>62</v>
      </c>
      <c r="B9" s="14" t="s">
        <v>547</v>
      </c>
      <c r="C9" s="15" t="s">
        <v>550</v>
      </c>
      <c r="D9" s="73">
        <v>12820853</v>
      </c>
      <c r="E9" s="74" t="s">
        <v>526</v>
      </c>
      <c r="F9" s="17" t="s">
        <v>546</v>
      </c>
      <c r="G9" s="18">
        <v>2023</v>
      </c>
      <c r="H9" s="71"/>
      <c r="I9" s="78"/>
      <c r="J9" s="71"/>
      <c r="K9" s="16">
        <v>25</v>
      </c>
      <c r="L9" s="16">
        <v>25</v>
      </c>
      <c r="M9" s="16">
        <v>25</v>
      </c>
      <c r="N9" s="16">
        <v>0</v>
      </c>
      <c r="O9" s="20">
        <f t="shared" si="0"/>
        <v>75</v>
      </c>
      <c r="P9" s="14" t="str">
        <f t="shared" si="1"/>
        <v>🟡 Acceptable</v>
      </c>
      <c r="Q9" s="82"/>
    </row>
    <row r="10" spans="1:17" hidden="1" x14ac:dyDescent="0.2">
      <c r="A10" s="134" t="s">
        <v>62</v>
      </c>
      <c r="B10" s="14" t="s">
        <v>547</v>
      </c>
      <c r="C10" s="15" t="s">
        <v>550</v>
      </c>
      <c r="D10" s="73">
        <v>14437610</v>
      </c>
      <c r="E10" s="74" t="s">
        <v>526</v>
      </c>
      <c r="F10" s="17" t="s">
        <v>546</v>
      </c>
      <c r="G10" s="18">
        <v>2022</v>
      </c>
      <c r="H10" s="71"/>
      <c r="I10" s="78"/>
      <c r="J10" s="71"/>
      <c r="K10" s="16">
        <v>25</v>
      </c>
      <c r="L10" s="16">
        <v>25</v>
      </c>
      <c r="M10" s="16">
        <v>25</v>
      </c>
      <c r="N10" s="16">
        <v>0</v>
      </c>
      <c r="O10" s="20">
        <f t="shared" si="0"/>
        <v>75</v>
      </c>
      <c r="P10" s="14" t="str">
        <f t="shared" si="1"/>
        <v>🟡 Acceptable</v>
      </c>
      <c r="Q10" s="82"/>
    </row>
    <row r="11" spans="1:17" hidden="1" x14ac:dyDescent="0.2">
      <c r="A11" s="134" t="s">
        <v>62</v>
      </c>
      <c r="B11" s="14" t="s">
        <v>547</v>
      </c>
      <c r="C11" s="15" t="s">
        <v>550</v>
      </c>
      <c r="D11" s="73">
        <v>14776992</v>
      </c>
      <c r="E11" s="74" t="s">
        <v>526</v>
      </c>
      <c r="F11" s="17" t="s">
        <v>546</v>
      </c>
      <c r="G11" s="18">
        <v>2021</v>
      </c>
      <c r="H11" s="71"/>
      <c r="I11" s="78"/>
      <c r="J11" s="71"/>
      <c r="K11" s="16">
        <v>25</v>
      </c>
      <c r="L11" s="16">
        <v>25</v>
      </c>
      <c r="M11" s="16">
        <v>25</v>
      </c>
      <c r="N11" s="16">
        <v>0</v>
      </c>
      <c r="O11" s="20">
        <f t="shared" si="0"/>
        <v>75</v>
      </c>
      <c r="P11" s="14" t="str">
        <f t="shared" si="1"/>
        <v>🟡 Acceptable</v>
      </c>
      <c r="Q11" s="82"/>
    </row>
    <row r="12" spans="1:17" hidden="1" x14ac:dyDescent="0.2">
      <c r="A12" s="134" t="s">
        <v>62</v>
      </c>
      <c r="B12" s="14" t="s">
        <v>547</v>
      </c>
      <c r="C12" s="15" t="s">
        <v>550</v>
      </c>
      <c r="D12" s="73">
        <v>14463318</v>
      </c>
      <c r="E12" s="74" t="s">
        <v>526</v>
      </c>
      <c r="F12" s="17" t="s">
        <v>546</v>
      </c>
      <c r="G12" s="18">
        <v>2020</v>
      </c>
      <c r="H12" s="71"/>
      <c r="I12" s="78"/>
      <c r="J12" s="71"/>
      <c r="K12" s="16">
        <v>25</v>
      </c>
      <c r="L12" s="16">
        <v>25</v>
      </c>
      <c r="M12" s="16">
        <v>25</v>
      </c>
      <c r="N12" s="16">
        <v>0</v>
      </c>
      <c r="O12" s="20">
        <f t="shared" si="0"/>
        <v>75</v>
      </c>
      <c r="P12" s="14" t="str">
        <f t="shared" si="1"/>
        <v>🟡 Acceptable</v>
      </c>
      <c r="Q12" s="82"/>
    </row>
    <row r="13" spans="1:17" hidden="1" x14ac:dyDescent="0.2">
      <c r="A13" s="134" t="s">
        <v>62</v>
      </c>
      <c r="B13" s="14" t="s">
        <v>547</v>
      </c>
      <c r="C13" s="15" t="s">
        <v>550</v>
      </c>
      <c r="D13" s="73">
        <v>15218523</v>
      </c>
      <c r="E13" s="74" t="s">
        <v>526</v>
      </c>
      <c r="F13" s="17" t="s">
        <v>546</v>
      </c>
      <c r="G13" s="18">
        <v>2019</v>
      </c>
      <c r="H13" s="71"/>
      <c r="I13" s="78"/>
      <c r="J13" s="71"/>
      <c r="K13" s="16">
        <v>25</v>
      </c>
      <c r="L13" s="16">
        <v>25</v>
      </c>
      <c r="M13" s="16">
        <v>25</v>
      </c>
      <c r="N13" s="16">
        <v>0</v>
      </c>
      <c r="O13" s="20">
        <f t="shared" si="0"/>
        <v>75</v>
      </c>
      <c r="P13" s="14" t="str">
        <f t="shared" si="1"/>
        <v>🟡 Acceptable</v>
      </c>
      <c r="Q13" s="82"/>
    </row>
    <row r="14" spans="1:17" hidden="1" x14ac:dyDescent="0.2">
      <c r="A14" s="134" t="s">
        <v>62</v>
      </c>
      <c r="B14" s="14" t="s">
        <v>547</v>
      </c>
      <c r="C14" s="15" t="s">
        <v>550</v>
      </c>
      <c r="D14" s="73">
        <f>5994000+1600000</f>
        <v>7594000</v>
      </c>
      <c r="E14" s="74" t="s">
        <v>296</v>
      </c>
      <c r="F14" s="17" t="s">
        <v>546</v>
      </c>
      <c r="G14" s="18">
        <v>2024</v>
      </c>
      <c r="H14" s="71"/>
      <c r="I14" s="78"/>
      <c r="J14" s="71"/>
      <c r="K14" s="16">
        <v>25</v>
      </c>
      <c r="L14" s="16">
        <v>25</v>
      </c>
      <c r="M14" s="16">
        <v>25</v>
      </c>
      <c r="N14" s="16">
        <v>0</v>
      </c>
      <c r="O14" s="20">
        <f t="shared" si="0"/>
        <v>75</v>
      </c>
      <c r="P14" s="14" t="str">
        <f t="shared" si="1"/>
        <v>🟡 Acceptable</v>
      </c>
      <c r="Q14" s="82"/>
    </row>
    <row r="15" spans="1:17" hidden="1" x14ac:dyDescent="0.2">
      <c r="A15" s="134" t="s">
        <v>62</v>
      </c>
      <c r="B15" s="14" t="s">
        <v>547</v>
      </c>
      <c r="C15" s="15" t="s">
        <v>550</v>
      </c>
      <c r="D15" s="73">
        <v>7220000</v>
      </c>
      <c r="E15" s="74" t="s">
        <v>296</v>
      </c>
      <c r="F15" s="17" t="s">
        <v>546</v>
      </c>
      <c r="G15" s="18">
        <v>2023</v>
      </c>
      <c r="H15" s="71"/>
      <c r="I15" s="78"/>
      <c r="J15" s="71"/>
      <c r="K15" s="16">
        <v>25</v>
      </c>
      <c r="L15" s="16">
        <v>25</v>
      </c>
      <c r="M15" s="16">
        <v>25</v>
      </c>
      <c r="N15" s="16">
        <v>0</v>
      </c>
      <c r="O15" s="20">
        <f t="shared" si="0"/>
        <v>75</v>
      </c>
      <c r="P15" s="14" t="str">
        <f t="shared" si="1"/>
        <v>🟡 Acceptable</v>
      </c>
      <c r="Q15" s="82"/>
    </row>
    <row r="16" spans="1:17" hidden="1" x14ac:dyDescent="0.2">
      <c r="A16" s="134" t="s">
        <v>62</v>
      </c>
      <c r="B16" s="14" t="s">
        <v>547</v>
      </c>
      <c r="C16" s="15" t="s">
        <v>550</v>
      </c>
      <c r="D16" s="73">
        <v>7523000</v>
      </c>
      <c r="E16" s="74" t="s">
        <v>296</v>
      </c>
      <c r="F16" s="17" t="s">
        <v>546</v>
      </c>
      <c r="G16" s="18">
        <v>2022</v>
      </c>
      <c r="H16" s="71"/>
      <c r="I16" s="78"/>
      <c r="J16" s="71"/>
      <c r="K16" s="16">
        <v>25</v>
      </c>
      <c r="L16" s="16">
        <v>25</v>
      </c>
      <c r="M16" s="16">
        <v>25</v>
      </c>
      <c r="N16" s="16">
        <v>0</v>
      </c>
      <c r="O16" s="20">
        <f t="shared" si="0"/>
        <v>75</v>
      </c>
      <c r="P16" s="14" t="str">
        <f t="shared" si="1"/>
        <v>🟡 Acceptable</v>
      </c>
      <c r="Q16" s="82"/>
    </row>
    <row r="17" spans="1:17" hidden="1" x14ac:dyDescent="0.2">
      <c r="A17" s="134" t="s">
        <v>62</v>
      </c>
      <c r="B17" s="14" t="s">
        <v>547</v>
      </c>
      <c r="C17" s="15" t="s">
        <v>550</v>
      </c>
      <c r="D17" s="73">
        <v>7282000</v>
      </c>
      <c r="E17" s="74" t="s">
        <v>296</v>
      </c>
      <c r="F17" s="17" t="s">
        <v>546</v>
      </c>
      <c r="G17" s="18">
        <v>2021</v>
      </c>
      <c r="H17" s="71"/>
      <c r="I17" s="78"/>
      <c r="J17" s="71"/>
      <c r="K17" s="16">
        <v>25</v>
      </c>
      <c r="L17" s="16">
        <v>25</v>
      </c>
      <c r="M17" s="16">
        <v>25</v>
      </c>
      <c r="N17" s="16">
        <v>0</v>
      </c>
      <c r="O17" s="20">
        <f t="shared" si="0"/>
        <v>75</v>
      </c>
      <c r="P17" s="14" t="str">
        <f t="shared" si="1"/>
        <v>🟡 Acceptable</v>
      </c>
      <c r="Q17" s="82"/>
    </row>
    <row r="18" spans="1:17" hidden="1" x14ac:dyDescent="0.2">
      <c r="A18" s="134" t="s">
        <v>62</v>
      </c>
      <c r="B18" s="14" t="s">
        <v>547</v>
      </c>
      <c r="C18" s="15" t="s">
        <v>550</v>
      </c>
      <c r="D18" s="73">
        <v>7049000</v>
      </c>
      <c r="E18" s="74" t="s">
        <v>296</v>
      </c>
      <c r="F18" s="17" t="s">
        <v>546</v>
      </c>
      <c r="G18" s="18">
        <v>2020</v>
      </c>
      <c r="H18" s="71"/>
      <c r="I18" s="78"/>
      <c r="J18" s="71"/>
      <c r="K18" s="16">
        <v>25</v>
      </c>
      <c r="L18" s="16">
        <v>25</v>
      </c>
      <c r="M18" s="16">
        <v>25</v>
      </c>
      <c r="N18" s="16">
        <v>0</v>
      </c>
      <c r="O18" s="20">
        <f t="shared" si="0"/>
        <v>75</v>
      </c>
      <c r="P18" s="14" t="str">
        <f t="shared" si="1"/>
        <v>🟡 Acceptable</v>
      </c>
      <c r="Q18" s="82"/>
    </row>
    <row r="19" spans="1:17" hidden="1" x14ac:dyDescent="0.2">
      <c r="A19" s="134" t="s">
        <v>62</v>
      </c>
      <c r="B19" s="14" t="s">
        <v>547</v>
      </c>
      <c r="C19" s="15" t="s">
        <v>550</v>
      </c>
      <c r="D19" s="73">
        <v>6954000</v>
      </c>
      <c r="E19" s="74" t="s">
        <v>296</v>
      </c>
      <c r="F19" s="17" t="s">
        <v>546</v>
      </c>
      <c r="G19" s="18">
        <v>2019</v>
      </c>
      <c r="H19" s="71"/>
      <c r="I19" s="78"/>
      <c r="J19" s="71"/>
      <c r="K19" s="16">
        <v>25</v>
      </c>
      <c r="L19" s="16">
        <v>25</v>
      </c>
      <c r="M19" s="16">
        <v>25</v>
      </c>
      <c r="N19" s="16">
        <v>0</v>
      </c>
      <c r="O19" s="20">
        <f t="shared" si="0"/>
        <v>75</v>
      </c>
      <c r="P19" s="14" t="str">
        <f t="shared" si="1"/>
        <v>🟡 Acceptable</v>
      </c>
      <c r="Q19" s="82"/>
    </row>
    <row r="20" spans="1:17" hidden="1" x14ac:dyDescent="0.2">
      <c r="A20" s="134" t="s">
        <v>62</v>
      </c>
      <c r="B20" s="14" t="s">
        <v>547</v>
      </c>
      <c r="C20" s="15" t="s">
        <v>551</v>
      </c>
      <c r="D20" s="73">
        <v>7324000</v>
      </c>
      <c r="E20" s="74" t="s">
        <v>296</v>
      </c>
      <c r="F20" s="17" t="s">
        <v>546</v>
      </c>
      <c r="G20" s="18">
        <v>2024</v>
      </c>
      <c r="H20" s="71"/>
      <c r="I20" s="78"/>
      <c r="J20" s="71"/>
      <c r="K20" s="16">
        <v>25</v>
      </c>
      <c r="L20" s="16">
        <v>25</v>
      </c>
      <c r="M20" s="16">
        <v>25</v>
      </c>
      <c r="N20" s="16">
        <v>0</v>
      </c>
      <c r="O20" s="20">
        <f t="shared" si="0"/>
        <v>75</v>
      </c>
      <c r="P20" s="14" t="str">
        <f t="shared" si="1"/>
        <v>🟡 Acceptable</v>
      </c>
      <c r="Q20" s="82"/>
    </row>
    <row r="21" spans="1:17" hidden="1" x14ac:dyDescent="0.2">
      <c r="A21" s="134" t="s">
        <v>62</v>
      </c>
      <c r="B21" s="14" t="s">
        <v>547</v>
      </c>
      <c r="C21" s="15" t="s">
        <v>551</v>
      </c>
      <c r="D21" s="73">
        <v>7319000</v>
      </c>
      <c r="E21" s="74" t="s">
        <v>296</v>
      </c>
      <c r="F21" s="17" t="s">
        <v>546</v>
      </c>
      <c r="G21" s="18">
        <v>2023</v>
      </c>
      <c r="H21" s="71"/>
      <c r="I21" s="78"/>
      <c r="J21" s="71"/>
      <c r="K21" s="16">
        <v>25</v>
      </c>
      <c r="L21" s="16">
        <v>25</v>
      </c>
      <c r="M21" s="16">
        <v>25</v>
      </c>
      <c r="N21" s="16">
        <v>0</v>
      </c>
      <c r="O21" s="20">
        <f t="shared" si="0"/>
        <v>75</v>
      </c>
      <c r="P21" s="14" t="str">
        <f t="shared" si="1"/>
        <v>🟡 Acceptable</v>
      </c>
      <c r="Q21" s="82"/>
    </row>
    <row r="22" spans="1:17" hidden="1" x14ac:dyDescent="0.2">
      <c r="A22" s="134" t="s">
        <v>62</v>
      </c>
      <c r="B22" s="14" t="s">
        <v>547</v>
      </c>
      <c r="C22" s="15" t="s">
        <v>551</v>
      </c>
      <c r="D22" s="73">
        <v>7850000</v>
      </c>
      <c r="E22" s="74" t="s">
        <v>296</v>
      </c>
      <c r="F22" s="17" t="s">
        <v>546</v>
      </c>
      <c r="G22" s="18">
        <v>2022</v>
      </c>
      <c r="H22" s="71"/>
      <c r="I22" s="78"/>
      <c r="J22" s="71"/>
      <c r="K22" s="16">
        <v>25</v>
      </c>
      <c r="L22" s="16">
        <v>25</v>
      </c>
      <c r="M22" s="16">
        <v>25</v>
      </c>
      <c r="N22" s="16">
        <v>0</v>
      </c>
      <c r="O22" s="20">
        <f t="shared" si="0"/>
        <v>75</v>
      </c>
      <c r="P22" s="14" t="str">
        <f t="shared" si="1"/>
        <v>🟡 Acceptable</v>
      </c>
      <c r="Q22" s="82"/>
    </row>
    <row r="23" spans="1:17" hidden="1" x14ac:dyDescent="0.2">
      <c r="A23" s="134" t="s">
        <v>62</v>
      </c>
      <c r="B23" s="14" t="s">
        <v>547</v>
      </c>
      <c r="C23" s="15" t="s">
        <v>551</v>
      </c>
      <c r="D23" s="73">
        <v>8055900</v>
      </c>
      <c r="E23" s="74" t="s">
        <v>296</v>
      </c>
      <c r="F23" s="17" t="s">
        <v>546</v>
      </c>
      <c r="G23" s="18">
        <v>2021</v>
      </c>
      <c r="H23" s="71"/>
      <c r="I23" s="78"/>
      <c r="J23" s="71"/>
      <c r="K23" s="16">
        <v>25</v>
      </c>
      <c r="L23" s="16">
        <v>25</v>
      </c>
      <c r="M23" s="16">
        <v>25</v>
      </c>
      <c r="N23" s="16">
        <v>0</v>
      </c>
      <c r="O23" s="20">
        <f t="shared" si="0"/>
        <v>75</v>
      </c>
      <c r="P23" s="14" t="str">
        <f t="shared" si="1"/>
        <v>🟡 Acceptable</v>
      </c>
      <c r="Q23" s="82"/>
    </row>
    <row r="24" spans="1:17" hidden="1" x14ac:dyDescent="0.2">
      <c r="A24" s="134" t="s">
        <v>62</v>
      </c>
      <c r="B24" s="14" t="s">
        <v>547</v>
      </c>
      <c r="C24" s="15" t="s">
        <v>551</v>
      </c>
      <c r="D24" s="73">
        <v>7461140</v>
      </c>
      <c r="E24" s="74" t="s">
        <v>296</v>
      </c>
      <c r="F24" s="17" t="s">
        <v>546</v>
      </c>
      <c r="G24" s="18">
        <v>2020</v>
      </c>
      <c r="H24" s="71"/>
      <c r="I24" s="78"/>
      <c r="J24" s="71"/>
      <c r="K24" s="16">
        <v>25</v>
      </c>
      <c r="L24" s="16">
        <v>25</v>
      </c>
      <c r="M24" s="16">
        <v>25</v>
      </c>
      <c r="N24" s="16">
        <v>0</v>
      </c>
      <c r="O24" s="20">
        <f t="shared" si="0"/>
        <v>75</v>
      </c>
      <c r="P24" s="14" t="str">
        <f t="shared" si="1"/>
        <v>🟡 Acceptable</v>
      </c>
      <c r="Q24" s="82"/>
    </row>
    <row r="25" spans="1:17" hidden="1" x14ac:dyDescent="0.2">
      <c r="A25" s="134" t="s">
        <v>62</v>
      </c>
      <c r="B25" s="14" t="s">
        <v>547</v>
      </c>
      <c r="C25" s="15" t="s">
        <v>551</v>
      </c>
      <c r="D25" s="73">
        <v>7396200</v>
      </c>
      <c r="E25" s="74" t="s">
        <v>296</v>
      </c>
      <c r="F25" s="17" t="s">
        <v>546</v>
      </c>
      <c r="G25" s="18">
        <v>2019</v>
      </c>
      <c r="H25" s="71"/>
      <c r="I25" s="78"/>
      <c r="J25" s="71"/>
      <c r="K25" s="16">
        <v>25</v>
      </c>
      <c r="L25" s="16">
        <v>25</v>
      </c>
      <c r="M25" s="16">
        <v>25</v>
      </c>
      <c r="N25" s="16">
        <v>0</v>
      </c>
      <c r="O25" s="20">
        <f t="shared" si="0"/>
        <v>75</v>
      </c>
      <c r="P25" s="14" t="str">
        <f t="shared" si="1"/>
        <v>🟡 Acceptable</v>
      </c>
      <c r="Q25" s="82"/>
    </row>
    <row r="26" spans="1:17" x14ac:dyDescent="0.2">
      <c r="A26" s="134" t="s">
        <v>62</v>
      </c>
      <c r="B26" s="14" t="s">
        <v>314</v>
      </c>
      <c r="C26" s="130" t="s">
        <v>559</v>
      </c>
      <c r="D26" s="128">
        <v>9179.1</v>
      </c>
      <c r="E26" s="84" t="s">
        <v>526</v>
      </c>
      <c r="F26" s="24" t="s">
        <v>316</v>
      </c>
      <c r="G26" s="18">
        <v>2023</v>
      </c>
      <c r="H26" s="71"/>
      <c r="I26" s="78"/>
      <c r="J26" s="71"/>
      <c r="K26" s="16">
        <v>25</v>
      </c>
      <c r="L26" s="16">
        <v>25</v>
      </c>
      <c r="M26" s="16">
        <v>25</v>
      </c>
      <c r="N26" s="16">
        <v>0</v>
      </c>
      <c r="O26" s="20">
        <f t="shared" si="0"/>
        <v>75</v>
      </c>
      <c r="P26" s="14" t="str">
        <f t="shared" si="1"/>
        <v>🟡 Acceptable</v>
      </c>
      <c r="Q26" s="82"/>
    </row>
    <row r="27" spans="1:17" x14ac:dyDescent="0.2">
      <c r="A27" s="134" t="s">
        <v>62</v>
      </c>
      <c r="B27" s="14" t="s">
        <v>314</v>
      </c>
      <c r="C27" s="130" t="s">
        <v>559</v>
      </c>
      <c r="D27" s="128">
        <v>7858.4</v>
      </c>
      <c r="E27" s="84" t="s">
        <v>526</v>
      </c>
      <c r="F27" s="24" t="s">
        <v>316</v>
      </c>
      <c r="G27" s="18">
        <v>2022</v>
      </c>
      <c r="H27" s="71"/>
      <c r="I27" s="78"/>
      <c r="J27" s="71"/>
      <c r="K27" s="16">
        <v>25</v>
      </c>
      <c r="L27" s="16">
        <v>25</v>
      </c>
      <c r="M27" s="16">
        <v>25</v>
      </c>
      <c r="N27" s="16">
        <v>0</v>
      </c>
      <c r="O27" s="20">
        <f t="shared" ref="O27:O48" si="2">K27+L27+M27+N27</f>
        <v>75</v>
      </c>
      <c r="P27" s="14" t="str">
        <f t="shared" ref="P27:P48" si="3">IF(O27&gt;=80,"✅ High Quality",IF(O27&gt;=60,"🟡 Acceptable",IF(O27&gt;=40,"⚠️ Use with Caution","🔴 Insufficient")))</f>
        <v>🟡 Acceptable</v>
      </c>
      <c r="Q27" s="82"/>
    </row>
    <row r="28" spans="1:17" x14ac:dyDescent="0.2">
      <c r="A28" s="134" t="s">
        <v>62</v>
      </c>
      <c r="B28" s="14" t="s">
        <v>314</v>
      </c>
      <c r="C28" s="130" t="s">
        <v>559</v>
      </c>
      <c r="D28" s="128">
        <v>13205</v>
      </c>
      <c r="E28" s="84" t="s">
        <v>526</v>
      </c>
      <c r="F28" s="24" t="s">
        <v>316</v>
      </c>
      <c r="G28" s="18">
        <v>2021</v>
      </c>
      <c r="H28" s="71"/>
      <c r="I28" s="78"/>
      <c r="J28" s="71"/>
      <c r="K28" s="16">
        <v>25</v>
      </c>
      <c r="L28" s="16">
        <v>25</v>
      </c>
      <c r="M28" s="16">
        <v>25</v>
      </c>
      <c r="N28" s="16">
        <v>0</v>
      </c>
      <c r="O28" s="20">
        <f t="shared" si="2"/>
        <v>75</v>
      </c>
      <c r="P28" s="14" t="str">
        <f t="shared" si="3"/>
        <v>🟡 Acceptable</v>
      </c>
      <c r="Q28" s="82"/>
    </row>
    <row r="29" spans="1:17" x14ac:dyDescent="0.2">
      <c r="A29" s="134" t="s">
        <v>62</v>
      </c>
      <c r="B29" s="14" t="s">
        <v>314</v>
      </c>
      <c r="C29" s="130" t="s">
        <v>559</v>
      </c>
      <c r="D29" s="128">
        <v>9046.2999999999993</v>
      </c>
      <c r="E29" s="84" t="s">
        <v>526</v>
      </c>
      <c r="F29" s="24" t="s">
        <v>316</v>
      </c>
      <c r="G29" s="18">
        <v>2020</v>
      </c>
      <c r="H29" s="71"/>
      <c r="I29" s="78"/>
      <c r="J29" s="71"/>
      <c r="K29" s="16">
        <v>25</v>
      </c>
      <c r="L29" s="16">
        <v>25</v>
      </c>
      <c r="M29" s="16">
        <v>25</v>
      </c>
      <c r="N29" s="16">
        <v>0</v>
      </c>
      <c r="O29" s="20">
        <f t="shared" si="2"/>
        <v>75</v>
      </c>
      <c r="P29" s="14" t="str">
        <f t="shared" si="3"/>
        <v>🟡 Acceptable</v>
      </c>
      <c r="Q29" s="82"/>
    </row>
    <row r="30" spans="1:17" x14ac:dyDescent="0.2">
      <c r="A30" s="134" t="s">
        <v>62</v>
      </c>
      <c r="B30" s="14" t="s">
        <v>314</v>
      </c>
      <c r="C30" s="130" t="s">
        <v>559</v>
      </c>
      <c r="D30" s="128">
        <v>9396.7999999999993</v>
      </c>
      <c r="E30" s="84" t="s">
        <v>526</v>
      </c>
      <c r="F30" s="24" t="s">
        <v>316</v>
      </c>
      <c r="G30" s="18">
        <v>2019</v>
      </c>
      <c r="H30" s="71"/>
      <c r="I30" s="78"/>
      <c r="J30" s="71"/>
      <c r="K30" s="16">
        <v>25</v>
      </c>
      <c r="L30" s="16">
        <v>25</v>
      </c>
      <c r="M30" s="16">
        <v>25</v>
      </c>
      <c r="N30" s="16">
        <v>0</v>
      </c>
      <c r="O30" s="20">
        <f t="shared" si="2"/>
        <v>75</v>
      </c>
      <c r="P30" s="14" t="str">
        <f t="shared" si="3"/>
        <v>🟡 Acceptable</v>
      </c>
      <c r="Q30" s="82"/>
    </row>
    <row r="31" spans="1:17" x14ac:dyDescent="0.2">
      <c r="A31" s="134" t="s">
        <v>62</v>
      </c>
      <c r="B31" s="14" t="s">
        <v>314</v>
      </c>
      <c r="C31" s="130" t="s">
        <v>559</v>
      </c>
      <c r="D31" s="128">
        <v>28031.1</v>
      </c>
      <c r="E31" s="84" t="s">
        <v>525</v>
      </c>
      <c r="F31" s="24" t="s">
        <v>316</v>
      </c>
      <c r="G31" s="18">
        <v>2024</v>
      </c>
      <c r="H31" s="71"/>
      <c r="I31" s="78"/>
      <c r="J31" s="71"/>
      <c r="K31" s="16">
        <v>25</v>
      </c>
      <c r="L31" s="16">
        <v>25</v>
      </c>
      <c r="M31" s="16">
        <v>25</v>
      </c>
      <c r="N31" s="16">
        <v>0</v>
      </c>
      <c r="O31" s="20">
        <f t="shared" si="2"/>
        <v>75</v>
      </c>
      <c r="P31" s="14" t="str">
        <f t="shared" si="3"/>
        <v>🟡 Acceptable</v>
      </c>
      <c r="Q31" s="82"/>
    </row>
    <row r="32" spans="1:17" x14ac:dyDescent="0.2">
      <c r="A32" s="134" t="s">
        <v>62</v>
      </c>
      <c r="B32" s="14" t="s">
        <v>314</v>
      </c>
      <c r="C32" s="130" t="s">
        <v>559</v>
      </c>
      <c r="D32" s="128">
        <v>9370.4</v>
      </c>
      <c r="E32" s="84" t="s">
        <v>296</v>
      </c>
      <c r="F32" s="24" t="s">
        <v>316</v>
      </c>
      <c r="G32" s="18">
        <v>2023</v>
      </c>
      <c r="H32" s="71"/>
      <c r="I32" s="78"/>
      <c r="J32" s="71"/>
      <c r="K32" s="16">
        <v>25</v>
      </c>
      <c r="L32" s="16">
        <v>25</v>
      </c>
      <c r="M32" s="16">
        <v>25</v>
      </c>
      <c r="N32" s="16">
        <v>0</v>
      </c>
      <c r="O32" s="20">
        <f t="shared" si="2"/>
        <v>75</v>
      </c>
      <c r="P32" s="14" t="str">
        <f t="shared" si="3"/>
        <v>🟡 Acceptable</v>
      </c>
      <c r="Q32" s="82"/>
    </row>
    <row r="33" spans="1:17" x14ac:dyDescent="0.2">
      <c r="A33" s="134" t="s">
        <v>62</v>
      </c>
      <c r="B33" s="14" t="s">
        <v>314</v>
      </c>
      <c r="C33" s="130" t="s">
        <v>559</v>
      </c>
      <c r="D33" s="128">
        <v>8985</v>
      </c>
      <c r="E33" s="84" t="s">
        <v>296</v>
      </c>
      <c r="F33" s="24" t="s">
        <v>316</v>
      </c>
      <c r="G33" s="18">
        <v>2022</v>
      </c>
      <c r="H33" s="71"/>
      <c r="I33" s="78"/>
      <c r="J33" s="71"/>
      <c r="K33" s="16">
        <v>25</v>
      </c>
      <c r="L33" s="16">
        <v>25</v>
      </c>
      <c r="M33" s="16">
        <v>25</v>
      </c>
      <c r="N33" s="16">
        <v>0</v>
      </c>
      <c r="O33" s="20">
        <f t="shared" si="2"/>
        <v>75</v>
      </c>
      <c r="P33" s="14" t="str">
        <f t="shared" si="3"/>
        <v>🟡 Acceptable</v>
      </c>
      <c r="Q33" s="82"/>
    </row>
    <row r="34" spans="1:17" x14ac:dyDescent="0.2">
      <c r="A34" s="134" t="s">
        <v>62</v>
      </c>
      <c r="B34" s="14" t="s">
        <v>314</v>
      </c>
      <c r="C34" s="130" t="s">
        <v>559</v>
      </c>
      <c r="D34" s="128">
        <v>12492.5</v>
      </c>
      <c r="E34" s="84" t="s">
        <v>296</v>
      </c>
      <c r="F34" s="24" t="s">
        <v>316</v>
      </c>
      <c r="G34" s="18">
        <v>2021</v>
      </c>
      <c r="H34" s="71"/>
      <c r="I34" s="78"/>
      <c r="J34" s="71"/>
      <c r="K34" s="16">
        <v>25</v>
      </c>
      <c r="L34" s="16">
        <v>25</v>
      </c>
      <c r="M34" s="16">
        <v>25</v>
      </c>
      <c r="N34" s="16">
        <v>0</v>
      </c>
      <c r="O34" s="20">
        <f t="shared" si="2"/>
        <v>75</v>
      </c>
      <c r="P34" s="14" t="str">
        <f t="shared" si="3"/>
        <v>🟡 Acceptable</v>
      </c>
      <c r="Q34" s="82"/>
    </row>
    <row r="35" spans="1:17" x14ac:dyDescent="0.2">
      <c r="A35" s="134" t="s">
        <v>62</v>
      </c>
      <c r="B35" s="14" t="s">
        <v>314</v>
      </c>
      <c r="C35" s="130" t="s">
        <v>559</v>
      </c>
      <c r="D35" s="128">
        <v>9898.2000000000007</v>
      </c>
      <c r="E35" s="84" t="s">
        <v>296</v>
      </c>
      <c r="F35" s="24" t="s">
        <v>316</v>
      </c>
      <c r="G35" s="18">
        <v>2020</v>
      </c>
      <c r="H35" s="71"/>
      <c r="I35" s="78"/>
      <c r="J35" s="71"/>
      <c r="K35" s="16">
        <v>25</v>
      </c>
      <c r="L35" s="16">
        <v>25</v>
      </c>
      <c r="M35" s="16">
        <v>25</v>
      </c>
      <c r="N35" s="16">
        <v>0</v>
      </c>
      <c r="O35" s="20">
        <f t="shared" si="2"/>
        <v>75</v>
      </c>
      <c r="P35" s="14" t="str">
        <f t="shared" si="3"/>
        <v>🟡 Acceptable</v>
      </c>
      <c r="Q35" s="82"/>
    </row>
    <row r="36" spans="1:17" x14ac:dyDescent="0.2">
      <c r="A36" s="134" t="s">
        <v>62</v>
      </c>
      <c r="B36" s="14" t="s">
        <v>314</v>
      </c>
      <c r="C36" s="130" t="s">
        <v>559</v>
      </c>
      <c r="D36" s="128">
        <v>8204.6</v>
      </c>
      <c r="E36" s="84" t="s">
        <v>296</v>
      </c>
      <c r="F36" s="24" t="s">
        <v>316</v>
      </c>
      <c r="G36" s="18">
        <v>2019</v>
      </c>
      <c r="H36" s="71"/>
      <c r="I36" s="78"/>
      <c r="J36" s="71"/>
      <c r="K36" s="16">
        <v>25</v>
      </c>
      <c r="L36" s="16">
        <v>25</v>
      </c>
      <c r="M36" s="16">
        <v>25</v>
      </c>
      <c r="N36" s="16">
        <v>0</v>
      </c>
      <c r="O36" s="20">
        <f t="shared" si="2"/>
        <v>75</v>
      </c>
      <c r="P36" s="14" t="str">
        <f t="shared" si="3"/>
        <v>🟡 Acceptable</v>
      </c>
      <c r="Q36" s="82"/>
    </row>
    <row r="37" spans="1:17" hidden="1" x14ac:dyDescent="0.2">
      <c r="A37" s="134" t="s">
        <v>62</v>
      </c>
      <c r="B37" s="14" t="s">
        <v>314</v>
      </c>
      <c r="C37" s="130" t="s">
        <v>318</v>
      </c>
      <c r="D37" s="132">
        <v>0.159</v>
      </c>
      <c r="E37" s="84" t="s">
        <v>526</v>
      </c>
      <c r="F37" s="24" t="s">
        <v>99</v>
      </c>
      <c r="G37" s="18">
        <v>2023</v>
      </c>
      <c r="H37" s="71"/>
      <c r="I37" s="78"/>
      <c r="J37" s="71"/>
      <c r="K37" s="16">
        <v>25</v>
      </c>
      <c r="L37" s="16">
        <v>25</v>
      </c>
      <c r="M37" s="16">
        <v>25</v>
      </c>
      <c r="N37" s="16">
        <v>0</v>
      </c>
      <c r="O37" s="20">
        <f t="shared" si="2"/>
        <v>75</v>
      </c>
      <c r="P37" s="14" t="str">
        <f t="shared" si="3"/>
        <v>🟡 Acceptable</v>
      </c>
      <c r="Q37" s="82"/>
    </row>
    <row r="38" spans="1:17" ht="26" hidden="1" x14ac:dyDescent="0.2">
      <c r="A38" s="134" t="s">
        <v>62</v>
      </c>
      <c r="B38" s="14" t="s">
        <v>314</v>
      </c>
      <c r="C38" s="130" t="s">
        <v>318</v>
      </c>
      <c r="D38" s="132">
        <v>0.16200000000000001</v>
      </c>
      <c r="E38" s="84" t="s">
        <v>526</v>
      </c>
      <c r="F38" s="24" t="s">
        <v>99</v>
      </c>
      <c r="G38" s="18">
        <v>2022</v>
      </c>
      <c r="H38" s="71"/>
      <c r="I38" s="78"/>
      <c r="J38" s="71"/>
      <c r="K38" s="16">
        <v>15</v>
      </c>
      <c r="L38" s="16">
        <v>15</v>
      </c>
      <c r="M38" s="16">
        <v>25</v>
      </c>
      <c r="N38" s="16">
        <v>0</v>
      </c>
      <c r="O38" s="20">
        <f t="shared" si="2"/>
        <v>55</v>
      </c>
      <c r="P38" s="23" t="str">
        <f t="shared" si="3"/>
        <v>⚠️ Use with Caution</v>
      </c>
      <c r="Q38" s="82"/>
    </row>
    <row r="39" spans="1:17" ht="26" hidden="1" x14ac:dyDescent="0.2">
      <c r="A39" s="134" t="s">
        <v>62</v>
      </c>
      <c r="B39" s="14" t="s">
        <v>314</v>
      </c>
      <c r="C39" s="130" t="s">
        <v>318</v>
      </c>
      <c r="D39" s="132">
        <v>0.16</v>
      </c>
      <c r="E39" s="84" t="s">
        <v>526</v>
      </c>
      <c r="F39" s="24" t="s">
        <v>99</v>
      </c>
      <c r="G39" s="18">
        <v>2021</v>
      </c>
      <c r="H39" s="71"/>
      <c r="I39" s="78"/>
      <c r="J39" s="71"/>
      <c r="K39" s="16">
        <v>15</v>
      </c>
      <c r="L39" s="16">
        <v>15</v>
      </c>
      <c r="M39" s="16">
        <v>25</v>
      </c>
      <c r="N39" s="16">
        <v>0</v>
      </c>
      <c r="O39" s="20">
        <f t="shared" si="2"/>
        <v>55</v>
      </c>
      <c r="P39" s="23" t="str">
        <f t="shared" si="3"/>
        <v>⚠️ Use with Caution</v>
      </c>
      <c r="Q39" s="82"/>
    </row>
    <row r="40" spans="1:17" ht="26" hidden="1" x14ac:dyDescent="0.2">
      <c r="A40" s="134" t="s">
        <v>62</v>
      </c>
      <c r="B40" s="14" t="s">
        <v>314</v>
      </c>
      <c r="C40" s="130" t="s">
        <v>318</v>
      </c>
      <c r="D40" s="132">
        <v>0.16400000000000001</v>
      </c>
      <c r="E40" s="84" t="s">
        <v>526</v>
      </c>
      <c r="F40" s="24" t="s">
        <v>99</v>
      </c>
      <c r="G40" s="18">
        <v>2020</v>
      </c>
      <c r="H40" s="71"/>
      <c r="I40" s="78"/>
      <c r="J40" s="71"/>
      <c r="K40" s="16">
        <v>15</v>
      </c>
      <c r="L40" s="16">
        <v>15</v>
      </c>
      <c r="M40" s="16">
        <v>25</v>
      </c>
      <c r="N40" s="16">
        <v>0</v>
      </c>
      <c r="O40" s="20">
        <f t="shared" si="2"/>
        <v>55</v>
      </c>
      <c r="P40" s="23" t="str">
        <f t="shared" si="3"/>
        <v>⚠️ Use with Caution</v>
      </c>
      <c r="Q40" s="82"/>
    </row>
    <row r="41" spans="1:17" ht="26" hidden="1" x14ac:dyDescent="0.2">
      <c r="A41" s="134" t="s">
        <v>62</v>
      </c>
      <c r="B41" s="14" t="s">
        <v>314</v>
      </c>
      <c r="C41" s="130" t="s">
        <v>318</v>
      </c>
      <c r="D41" s="132">
        <v>0.17399999999999999</v>
      </c>
      <c r="E41" s="84" t="s">
        <v>526</v>
      </c>
      <c r="F41" s="24" t="s">
        <v>99</v>
      </c>
      <c r="G41" s="18">
        <v>2019</v>
      </c>
      <c r="H41" s="71"/>
      <c r="I41" s="78"/>
      <c r="J41" s="71"/>
      <c r="K41" s="16">
        <v>15</v>
      </c>
      <c r="L41" s="16">
        <v>15</v>
      </c>
      <c r="M41" s="16">
        <v>25</v>
      </c>
      <c r="N41" s="16">
        <v>0</v>
      </c>
      <c r="O41" s="20">
        <f t="shared" si="2"/>
        <v>55</v>
      </c>
      <c r="P41" s="23" t="str">
        <f t="shared" si="3"/>
        <v>⚠️ Use with Caution</v>
      </c>
      <c r="Q41" s="82"/>
    </row>
    <row r="42" spans="1:17" ht="26" hidden="1" x14ac:dyDescent="0.2">
      <c r="A42" s="134" t="s">
        <v>62</v>
      </c>
      <c r="B42" s="14" t="s">
        <v>314</v>
      </c>
      <c r="C42" s="130" t="s">
        <v>318</v>
      </c>
      <c r="D42" s="132">
        <v>0.17399999999999999</v>
      </c>
      <c r="E42" s="84" t="s">
        <v>525</v>
      </c>
      <c r="F42" s="24" t="s">
        <v>99</v>
      </c>
      <c r="G42" s="18">
        <v>2024</v>
      </c>
      <c r="H42" s="71"/>
      <c r="I42" s="78"/>
      <c r="J42" s="71"/>
      <c r="K42" s="16">
        <v>15</v>
      </c>
      <c r="L42" s="16">
        <v>15</v>
      </c>
      <c r="M42" s="16">
        <v>25</v>
      </c>
      <c r="N42" s="16">
        <v>0</v>
      </c>
      <c r="O42" s="20">
        <f t="shared" si="2"/>
        <v>55</v>
      </c>
      <c r="P42" s="23" t="str">
        <f t="shared" si="3"/>
        <v>⚠️ Use with Caution</v>
      </c>
      <c r="Q42" s="82"/>
    </row>
    <row r="43" spans="1:17" ht="26" hidden="1" x14ac:dyDescent="0.2">
      <c r="A43" s="134" t="s">
        <v>62</v>
      </c>
      <c r="B43" s="14" t="s">
        <v>314</v>
      </c>
      <c r="C43" s="130" t="s">
        <v>318</v>
      </c>
      <c r="D43" s="132">
        <v>0.16900000000000001</v>
      </c>
      <c r="E43" s="84" t="s">
        <v>296</v>
      </c>
      <c r="F43" s="24" t="s">
        <v>99</v>
      </c>
      <c r="G43" s="18">
        <v>2023</v>
      </c>
      <c r="H43" s="71"/>
      <c r="I43" s="78"/>
      <c r="J43" s="71"/>
      <c r="K43" s="16">
        <v>15</v>
      </c>
      <c r="L43" s="16">
        <v>15</v>
      </c>
      <c r="M43" s="16">
        <v>25</v>
      </c>
      <c r="N43" s="16">
        <v>0</v>
      </c>
      <c r="O43" s="20">
        <f t="shared" si="2"/>
        <v>55</v>
      </c>
      <c r="P43" s="23" t="str">
        <f t="shared" si="3"/>
        <v>⚠️ Use with Caution</v>
      </c>
      <c r="Q43" s="82"/>
    </row>
    <row r="44" spans="1:17" ht="26" hidden="1" x14ac:dyDescent="0.2">
      <c r="A44" s="134" t="s">
        <v>62</v>
      </c>
      <c r="B44" s="14" t="s">
        <v>314</v>
      </c>
      <c r="C44" s="130" t="s">
        <v>318</v>
      </c>
      <c r="D44" s="132">
        <v>0.161</v>
      </c>
      <c r="E44" s="84" t="s">
        <v>296</v>
      </c>
      <c r="F44" s="24" t="s">
        <v>99</v>
      </c>
      <c r="G44" s="18">
        <v>2022</v>
      </c>
      <c r="H44" s="71"/>
      <c r="I44" s="78"/>
      <c r="J44" s="71"/>
      <c r="K44" s="16">
        <v>15</v>
      </c>
      <c r="L44" s="16">
        <v>15</v>
      </c>
      <c r="M44" s="16">
        <v>25</v>
      </c>
      <c r="N44" s="16">
        <v>0</v>
      </c>
      <c r="O44" s="20">
        <f t="shared" si="2"/>
        <v>55</v>
      </c>
      <c r="P44" s="23" t="str">
        <f t="shared" si="3"/>
        <v>⚠️ Use with Caution</v>
      </c>
      <c r="Q44" s="82"/>
    </row>
    <row r="45" spans="1:17" ht="26" hidden="1" x14ac:dyDescent="0.2">
      <c r="A45" s="134" t="s">
        <v>62</v>
      </c>
      <c r="B45" s="14" t="s">
        <v>314</v>
      </c>
      <c r="C45" s="130" t="s">
        <v>318</v>
      </c>
      <c r="D45" s="132">
        <v>0.16</v>
      </c>
      <c r="E45" s="84" t="s">
        <v>296</v>
      </c>
      <c r="F45" s="24" t="s">
        <v>99</v>
      </c>
      <c r="G45" s="18">
        <v>2021</v>
      </c>
      <c r="H45" s="71"/>
      <c r="I45" s="78"/>
      <c r="J45" s="71"/>
      <c r="K45" s="16">
        <v>15</v>
      </c>
      <c r="L45" s="16">
        <v>15</v>
      </c>
      <c r="M45" s="16">
        <v>25</v>
      </c>
      <c r="N45" s="16">
        <v>0</v>
      </c>
      <c r="O45" s="20">
        <f t="shared" si="2"/>
        <v>55</v>
      </c>
      <c r="P45" s="23" t="str">
        <f t="shared" si="3"/>
        <v>⚠️ Use with Caution</v>
      </c>
      <c r="Q45" s="82"/>
    </row>
    <row r="46" spans="1:17" ht="26" hidden="1" x14ac:dyDescent="0.2">
      <c r="A46" s="134" t="s">
        <v>62</v>
      </c>
      <c r="B46" s="14" t="s">
        <v>314</v>
      </c>
      <c r="C46" s="130" t="s">
        <v>318</v>
      </c>
      <c r="D46" s="132">
        <v>0.17299999999999999</v>
      </c>
      <c r="E46" s="84" t="s">
        <v>296</v>
      </c>
      <c r="F46" s="24" t="s">
        <v>99</v>
      </c>
      <c r="G46" s="18">
        <v>2020</v>
      </c>
      <c r="H46" s="71"/>
      <c r="I46" s="78"/>
      <c r="J46" s="71"/>
      <c r="K46" s="16">
        <v>15</v>
      </c>
      <c r="L46" s="16">
        <v>15</v>
      </c>
      <c r="M46" s="16">
        <v>25</v>
      </c>
      <c r="N46" s="16">
        <v>0</v>
      </c>
      <c r="O46" s="20">
        <f t="shared" si="2"/>
        <v>55</v>
      </c>
      <c r="P46" s="23" t="str">
        <f t="shared" si="3"/>
        <v>⚠️ Use with Caution</v>
      </c>
      <c r="Q46" s="82"/>
    </row>
    <row r="47" spans="1:17" ht="26" hidden="1" x14ac:dyDescent="0.2">
      <c r="A47" s="134" t="s">
        <v>62</v>
      </c>
      <c r="B47" s="14" t="s">
        <v>314</v>
      </c>
      <c r="C47" s="130" t="s">
        <v>318</v>
      </c>
      <c r="D47" s="132">
        <v>0.17699999999999999</v>
      </c>
      <c r="E47" s="84" t="s">
        <v>296</v>
      </c>
      <c r="F47" s="24" t="s">
        <v>99</v>
      </c>
      <c r="G47" s="18">
        <v>2019</v>
      </c>
      <c r="H47" s="71"/>
      <c r="I47" s="78"/>
      <c r="J47" s="71"/>
      <c r="K47" s="16">
        <v>15</v>
      </c>
      <c r="L47" s="16">
        <v>15</v>
      </c>
      <c r="M47" s="16">
        <v>25</v>
      </c>
      <c r="N47" s="16">
        <v>0</v>
      </c>
      <c r="O47" s="20">
        <f t="shared" si="2"/>
        <v>55</v>
      </c>
      <c r="P47" s="23" t="str">
        <f t="shared" si="3"/>
        <v>⚠️ Use with Caution</v>
      </c>
      <c r="Q47" s="82"/>
    </row>
    <row r="48" spans="1:17" ht="26" hidden="1" x14ac:dyDescent="0.2">
      <c r="A48" s="134" t="s">
        <v>62</v>
      </c>
      <c r="B48" s="14" t="s">
        <v>314</v>
      </c>
      <c r="C48" s="130" t="s">
        <v>560</v>
      </c>
      <c r="D48" s="128">
        <v>1442.1</v>
      </c>
      <c r="E48" s="84" t="s">
        <v>526</v>
      </c>
      <c r="F48" s="24" t="s">
        <v>316</v>
      </c>
      <c r="G48" s="18">
        <v>2023</v>
      </c>
      <c r="H48" s="71"/>
      <c r="I48" s="78"/>
      <c r="J48" s="71"/>
      <c r="K48" s="16">
        <v>15</v>
      </c>
      <c r="L48" s="16">
        <v>15</v>
      </c>
      <c r="M48" s="16">
        <v>25</v>
      </c>
      <c r="N48" s="16">
        <v>0</v>
      </c>
      <c r="O48" s="20">
        <f t="shared" si="2"/>
        <v>55</v>
      </c>
      <c r="P48" s="23" t="str">
        <f t="shared" si="3"/>
        <v>⚠️ Use with Caution</v>
      </c>
      <c r="Q48" s="82"/>
    </row>
    <row r="49" spans="1:17" hidden="1" x14ac:dyDescent="0.2">
      <c r="A49" s="134" t="s">
        <v>552</v>
      </c>
      <c r="B49" s="14" t="s">
        <v>314</v>
      </c>
      <c r="C49" s="130" t="s">
        <v>560</v>
      </c>
      <c r="D49" s="128">
        <v>862.6</v>
      </c>
      <c r="E49" s="84" t="s">
        <v>526</v>
      </c>
      <c r="F49" s="24" t="s">
        <v>316</v>
      </c>
      <c r="G49" s="18">
        <v>2022</v>
      </c>
      <c r="H49" s="71"/>
      <c r="I49" s="78"/>
      <c r="J49" s="71"/>
      <c r="K49" s="16">
        <v>25</v>
      </c>
      <c r="L49" s="16">
        <v>15</v>
      </c>
      <c r="M49" s="16">
        <v>25</v>
      </c>
      <c r="N49" s="16">
        <v>0</v>
      </c>
      <c r="O49" s="20">
        <f>K49+L49+M49+N49</f>
        <v>65</v>
      </c>
      <c r="P49" s="35" t="str">
        <f>IF(O49&gt;=80,"✅ High Quality",IF(O49&gt;=60,"🟡 Acceptable",IF(O49&gt;=40,"⚠️ Use with Caution","🔴 Insufficient")))</f>
        <v>🟡 Acceptable</v>
      </c>
      <c r="Q49" s="82"/>
    </row>
    <row r="50" spans="1:17" hidden="1" x14ac:dyDescent="0.2">
      <c r="A50" s="134" t="s">
        <v>552</v>
      </c>
      <c r="B50" s="14" t="s">
        <v>314</v>
      </c>
      <c r="C50" s="130" t="s">
        <v>560</v>
      </c>
      <c r="D50" s="128">
        <v>815.5</v>
      </c>
      <c r="E50" s="84" t="s">
        <v>526</v>
      </c>
      <c r="F50" s="24" t="s">
        <v>316</v>
      </c>
      <c r="G50" s="18">
        <v>2021</v>
      </c>
      <c r="H50" s="71"/>
      <c r="I50" s="78"/>
      <c r="J50" s="71"/>
      <c r="K50" s="16">
        <v>25</v>
      </c>
      <c r="L50" s="16">
        <v>15</v>
      </c>
      <c r="M50" s="16">
        <v>25</v>
      </c>
      <c r="N50" s="16">
        <v>0</v>
      </c>
      <c r="O50" s="20">
        <f>K50+L50+M50+N50</f>
        <v>65</v>
      </c>
      <c r="P50" s="35" t="str">
        <f>IF(O50&gt;=80,"✅ High Quality",IF(O50&gt;=60,"🟡 Acceptable",IF(O50&gt;=40,"⚠️ Use with Caution","🔴 Insufficient")))</f>
        <v>🟡 Acceptable</v>
      </c>
      <c r="Q50" s="82"/>
    </row>
    <row r="51" spans="1:17" hidden="1" x14ac:dyDescent="0.2">
      <c r="A51" s="134" t="s">
        <v>552</v>
      </c>
      <c r="B51" s="14" t="s">
        <v>314</v>
      </c>
      <c r="C51" s="130" t="s">
        <v>560</v>
      </c>
      <c r="D51" s="128">
        <v>978.1</v>
      </c>
      <c r="E51" s="84" t="s">
        <v>526</v>
      </c>
      <c r="F51" s="24" t="s">
        <v>316</v>
      </c>
      <c r="G51" s="18">
        <v>2020</v>
      </c>
      <c r="H51" s="71"/>
      <c r="I51" s="78"/>
      <c r="J51" s="71"/>
      <c r="K51" s="16">
        <v>25</v>
      </c>
      <c r="L51" s="16">
        <v>15</v>
      </c>
      <c r="M51" s="16">
        <v>25</v>
      </c>
      <c r="N51" s="16">
        <v>0</v>
      </c>
      <c r="O51" s="20">
        <f>K51+L51+M51+N51</f>
        <v>65</v>
      </c>
      <c r="P51" s="35" t="str">
        <f>IF(O51&gt;=80,"✅ High Quality",IF(O51&gt;=60,"🟡 Acceptable",IF(O51&gt;=40,"⚠️ Use with Caution","🔴 Insufficient")))</f>
        <v>🟡 Acceptable</v>
      </c>
      <c r="Q51" s="82"/>
    </row>
    <row r="52" spans="1:17" hidden="1" x14ac:dyDescent="0.2">
      <c r="A52" s="134" t="s">
        <v>552</v>
      </c>
      <c r="B52" s="14" t="s">
        <v>314</v>
      </c>
      <c r="C52" s="130" t="s">
        <v>560</v>
      </c>
      <c r="D52" s="128">
        <v>1369.1</v>
      </c>
      <c r="E52" s="84" t="s">
        <v>526</v>
      </c>
      <c r="F52" s="24" t="s">
        <v>316</v>
      </c>
      <c r="G52" s="18">
        <v>2019</v>
      </c>
      <c r="H52" s="71"/>
      <c r="I52" s="78"/>
      <c r="J52" s="71"/>
      <c r="K52" s="16">
        <v>25</v>
      </c>
      <c r="L52" s="16">
        <v>15</v>
      </c>
      <c r="M52" s="16">
        <v>25</v>
      </c>
      <c r="N52" s="16">
        <v>0</v>
      </c>
      <c r="O52" s="20">
        <f>K52+L52+M52+N52</f>
        <v>65</v>
      </c>
      <c r="P52" s="35" t="str">
        <f>IF(O52&gt;=80,"✅ High Quality",IF(O52&gt;=60,"🟡 Acceptable",IF(O52&gt;=40,"⚠️ Use with Caution","🔴 Insufficient")))</f>
        <v>🟡 Acceptable</v>
      </c>
      <c r="Q52" s="82"/>
    </row>
    <row r="53" spans="1:17" hidden="1" x14ac:dyDescent="0.2">
      <c r="A53" s="134" t="s">
        <v>552</v>
      </c>
      <c r="B53" s="14" t="s">
        <v>314</v>
      </c>
      <c r="C53" s="130" t="s">
        <v>560</v>
      </c>
      <c r="D53" s="128">
        <v>1466</v>
      </c>
      <c r="E53" s="84" t="s">
        <v>525</v>
      </c>
      <c r="F53" s="24" t="s">
        <v>316</v>
      </c>
      <c r="G53" s="18">
        <v>2024</v>
      </c>
      <c r="H53" s="71"/>
      <c r="I53" s="78"/>
      <c r="J53" s="71"/>
      <c r="K53" s="16">
        <v>25</v>
      </c>
      <c r="L53" s="16">
        <v>15</v>
      </c>
      <c r="M53" s="16">
        <v>25</v>
      </c>
      <c r="N53" s="16">
        <v>0</v>
      </c>
      <c r="O53" s="20">
        <f>K53+L53+M53+N53</f>
        <v>65</v>
      </c>
      <c r="P53" s="35" t="str">
        <f>IF(O53&gt;=80,"✅ High Quality",IF(O53&gt;=60,"🟡 Acceptable",IF(O53&gt;=40,"⚠️ Use with Caution","🔴 Insufficient")))</f>
        <v>🟡 Acceptable</v>
      </c>
      <c r="Q53" s="82"/>
    </row>
    <row r="54" spans="1:17" hidden="1" x14ac:dyDescent="0.2">
      <c r="A54" s="134" t="s">
        <v>552</v>
      </c>
      <c r="B54" s="14" t="s">
        <v>314</v>
      </c>
      <c r="C54" s="130" t="s">
        <v>560</v>
      </c>
      <c r="D54" s="128">
        <v>841</v>
      </c>
      <c r="E54" s="84" t="s">
        <v>296</v>
      </c>
      <c r="F54" s="24" t="s">
        <v>316</v>
      </c>
      <c r="G54" s="18">
        <v>2023</v>
      </c>
      <c r="H54" s="71"/>
      <c r="I54" s="78"/>
      <c r="J54" s="71"/>
      <c r="K54" s="16">
        <v>25</v>
      </c>
      <c r="L54" s="16">
        <v>15</v>
      </c>
      <c r="M54" s="16">
        <v>25</v>
      </c>
      <c r="N54" s="16">
        <v>0</v>
      </c>
      <c r="O54" s="20">
        <f>K54+L54+M54+N54</f>
        <v>65</v>
      </c>
      <c r="P54" s="35" t="str">
        <f>IF(O54&gt;=80,"✅ High Quality",IF(O54&gt;=60,"🟡 Acceptable",IF(O54&gt;=40,"⚠️ Use with Caution","🔴 Insufficient")))</f>
        <v>🟡 Acceptable</v>
      </c>
      <c r="Q54" s="82"/>
    </row>
    <row r="55" spans="1:17" hidden="1" x14ac:dyDescent="0.2">
      <c r="A55" s="134" t="s">
        <v>552</v>
      </c>
      <c r="B55" s="14" t="s">
        <v>314</v>
      </c>
      <c r="C55" s="130" t="s">
        <v>560</v>
      </c>
      <c r="D55" s="128">
        <v>873</v>
      </c>
      <c r="E55" s="84" t="s">
        <v>296</v>
      </c>
      <c r="F55" s="24" t="s">
        <v>316</v>
      </c>
      <c r="G55" s="18">
        <v>2022</v>
      </c>
      <c r="H55" s="71"/>
      <c r="I55" s="78"/>
      <c r="J55" s="71"/>
      <c r="K55" s="16">
        <v>25</v>
      </c>
      <c r="L55" s="16">
        <v>15</v>
      </c>
      <c r="M55" s="16">
        <v>25</v>
      </c>
      <c r="N55" s="16">
        <v>0</v>
      </c>
      <c r="O55" s="20">
        <f>K55+L55+M55+N55</f>
        <v>65</v>
      </c>
      <c r="P55" s="35" t="str">
        <f>IF(O55&gt;=80,"✅ High Quality",IF(O55&gt;=60,"🟡 Acceptable",IF(O55&gt;=40,"⚠️ Use with Caution","🔴 Insufficient")))</f>
        <v>🟡 Acceptable</v>
      </c>
      <c r="Q55" s="82"/>
    </row>
    <row r="56" spans="1:17" hidden="1" x14ac:dyDescent="0.2">
      <c r="A56" s="134" t="s">
        <v>552</v>
      </c>
      <c r="B56" s="14" t="s">
        <v>314</v>
      </c>
      <c r="C56" s="130" t="s">
        <v>560</v>
      </c>
      <c r="D56" s="128">
        <v>594</v>
      </c>
      <c r="E56" s="84" t="s">
        <v>296</v>
      </c>
      <c r="F56" s="24" t="s">
        <v>316</v>
      </c>
      <c r="G56" s="18">
        <v>2021</v>
      </c>
      <c r="H56" s="71"/>
      <c r="I56" s="78"/>
      <c r="J56" s="71"/>
      <c r="K56" s="16">
        <v>25</v>
      </c>
      <c r="L56" s="16">
        <v>15</v>
      </c>
      <c r="M56" s="16">
        <v>25</v>
      </c>
      <c r="N56" s="16">
        <v>0</v>
      </c>
      <c r="O56" s="20">
        <f>K56+L56+M56+N56</f>
        <v>65</v>
      </c>
      <c r="P56" s="35" t="str">
        <f>IF(O56&gt;=80,"✅ High Quality",IF(O56&gt;=60,"🟡 Acceptable",IF(O56&gt;=40,"⚠️ Use with Caution","🔴 Insufficient")))</f>
        <v>🟡 Acceptable</v>
      </c>
      <c r="Q56" s="82"/>
    </row>
    <row r="57" spans="1:17" hidden="1" x14ac:dyDescent="0.2">
      <c r="A57" s="134" t="s">
        <v>552</v>
      </c>
      <c r="B57" s="14" t="s">
        <v>314</v>
      </c>
      <c r="C57" s="130" t="s">
        <v>560</v>
      </c>
      <c r="D57" s="128">
        <v>493</v>
      </c>
      <c r="E57" s="84" t="s">
        <v>296</v>
      </c>
      <c r="F57" s="24" t="s">
        <v>316</v>
      </c>
      <c r="G57" s="18">
        <v>2020</v>
      </c>
      <c r="H57" s="71"/>
      <c r="I57" s="78"/>
      <c r="J57" s="71"/>
      <c r="K57" s="16">
        <v>25</v>
      </c>
      <c r="L57" s="16">
        <v>15</v>
      </c>
      <c r="M57" s="16">
        <v>25</v>
      </c>
      <c r="N57" s="16">
        <v>0</v>
      </c>
      <c r="O57" s="20">
        <f>K57+L57+M57+N57</f>
        <v>65</v>
      </c>
      <c r="P57" s="35" t="str">
        <f>IF(O57&gt;=80,"✅ High Quality",IF(O57&gt;=60,"🟡 Acceptable",IF(O57&gt;=40,"⚠️ Use with Caution","🔴 Insufficient")))</f>
        <v>🟡 Acceptable</v>
      </c>
      <c r="Q57" s="82"/>
    </row>
    <row r="58" spans="1:17" hidden="1" x14ac:dyDescent="0.2">
      <c r="A58" s="134" t="s">
        <v>552</v>
      </c>
      <c r="B58" s="14" t="s">
        <v>314</v>
      </c>
      <c r="C58" s="130" t="s">
        <v>560</v>
      </c>
      <c r="D58" s="128">
        <v>612</v>
      </c>
      <c r="E58" s="84" t="s">
        <v>296</v>
      </c>
      <c r="F58" s="24" t="s">
        <v>316</v>
      </c>
      <c r="G58" s="18">
        <v>2019</v>
      </c>
      <c r="H58" s="71"/>
      <c r="I58" s="78"/>
      <c r="J58" s="71"/>
      <c r="K58" s="16">
        <v>25</v>
      </c>
      <c r="L58" s="16">
        <v>15</v>
      </c>
      <c r="M58" s="16">
        <v>25</v>
      </c>
      <c r="N58" s="16">
        <v>0</v>
      </c>
      <c r="O58" s="20">
        <f>K58+L58+M58+N58</f>
        <v>65</v>
      </c>
      <c r="P58" s="35" t="str">
        <f>IF(O58&gt;=80,"✅ High Quality",IF(O58&gt;=60,"🟡 Acceptable",IF(O58&gt;=40,"⚠️ Use with Caution","🔴 Insufficient")))</f>
        <v>🟡 Acceptable</v>
      </c>
      <c r="Q58" s="82"/>
    </row>
    <row r="59" spans="1:17" hidden="1" x14ac:dyDescent="0.2">
      <c r="A59" s="134" t="s">
        <v>552</v>
      </c>
      <c r="B59" s="14" t="s">
        <v>314</v>
      </c>
      <c r="C59" s="130" t="s">
        <v>315</v>
      </c>
      <c r="D59" s="128">
        <v>20310</v>
      </c>
      <c r="E59" s="84" t="s">
        <v>526</v>
      </c>
      <c r="F59" s="24" t="s">
        <v>316</v>
      </c>
      <c r="G59" s="18">
        <v>2023</v>
      </c>
      <c r="H59" s="71"/>
      <c r="I59" s="78"/>
      <c r="J59" s="71"/>
      <c r="K59" s="16">
        <v>25</v>
      </c>
      <c r="L59" s="16">
        <v>15</v>
      </c>
      <c r="M59" s="16">
        <v>25</v>
      </c>
      <c r="N59" s="16">
        <v>0</v>
      </c>
      <c r="O59" s="20">
        <f>K59+L59+M59+N59</f>
        <v>65</v>
      </c>
      <c r="P59" s="35" t="str">
        <f>IF(O59&gt;=80,"✅ High Quality",IF(O59&gt;=60,"🟡 Acceptable",IF(O59&gt;=40,"⚠️ Use with Caution","🔴 Insufficient")))</f>
        <v>🟡 Acceptable</v>
      </c>
      <c r="Q59" s="82"/>
    </row>
    <row r="60" spans="1:17" ht="26" hidden="1" x14ac:dyDescent="0.2">
      <c r="A60" s="134" t="s">
        <v>552</v>
      </c>
      <c r="B60" s="14" t="s">
        <v>314</v>
      </c>
      <c r="C60" s="130" t="s">
        <v>315</v>
      </c>
      <c r="D60" s="128">
        <v>21256.5</v>
      </c>
      <c r="E60" s="84" t="s">
        <v>526</v>
      </c>
      <c r="F60" s="24" t="s">
        <v>316</v>
      </c>
      <c r="G60" s="18">
        <v>2022</v>
      </c>
      <c r="H60" s="71"/>
      <c r="I60" s="78"/>
      <c r="J60" s="71"/>
      <c r="K60" s="16">
        <v>20</v>
      </c>
      <c r="L60" s="16">
        <v>15</v>
      </c>
      <c r="M60" s="16">
        <v>25</v>
      </c>
      <c r="N60" s="16">
        <v>0</v>
      </c>
      <c r="O60" s="20">
        <f>K60+L60+M60+N60</f>
        <v>60</v>
      </c>
      <c r="P60" s="23" t="str">
        <f>IF(O60&gt;=80,"✅ High Quality",IF(O60&gt;=60,"🟡 Acceptable",IF(O60&gt;=40,"⚠️ Use with Caution","🔴 Insufficient")))</f>
        <v>🟡 Acceptable</v>
      </c>
      <c r="Q60" s="82"/>
    </row>
    <row r="61" spans="1:17" ht="26" hidden="1" x14ac:dyDescent="0.2">
      <c r="A61" s="134" t="s">
        <v>552</v>
      </c>
      <c r="B61" s="14" t="s">
        <v>314</v>
      </c>
      <c r="C61" s="130" t="s">
        <v>315</v>
      </c>
      <c r="D61" s="128">
        <v>18746.099999999999</v>
      </c>
      <c r="E61" s="84" t="s">
        <v>526</v>
      </c>
      <c r="F61" s="24" t="s">
        <v>316</v>
      </c>
      <c r="G61" s="18">
        <v>2021</v>
      </c>
      <c r="H61" s="71"/>
      <c r="I61" s="78"/>
      <c r="J61" s="71"/>
      <c r="K61" s="16">
        <v>20</v>
      </c>
      <c r="L61" s="16">
        <v>15</v>
      </c>
      <c r="M61" s="16">
        <v>25</v>
      </c>
      <c r="N61" s="16">
        <v>0</v>
      </c>
      <c r="O61" s="20">
        <f>K61+L61+M61+N61</f>
        <v>60</v>
      </c>
      <c r="P61" s="23" t="str">
        <f>IF(O61&gt;=80,"✅ High Quality",IF(O61&gt;=60,"🟡 Acceptable",IF(O61&gt;=40,"⚠️ Use with Caution","🔴 Insufficient")))</f>
        <v>🟡 Acceptable</v>
      </c>
      <c r="Q61" s="82"/>
    </row>
    <row r="62" spans="1:17" ht="26" hidden="1" x14ac:dyDescent="0.2">
      <c r="A62" s="134" t="s">
        <v>552</v>
      </c>
      <c r="B62" s="14" t="s">
        <v>314</v>
      </c>
      <c r="C62" s="130" t="s">
        <v>315</v>
      </c>
      <c r="D62" s="128">
        <v>17578.8</v>
      </c>
      <c r="E62" s="84" t="s">
        <v>526</v>
      </c>
      <c r="F62" s="24" t="s">
        <v>316</v>
      </c>
      <c r="G62" s="18">
        <v>2020</v>
      </c>
      <c r="H62" s="71"/>
      <c r="I62" s="78"/>
      <c r="J62" s="71"/>
      <c r="K62" s="16">
        <v>20</v>
      </c>
      <c r="L62" s="16">
        <v>15</v>
      </c>
      <c r="M62" s="16">
        <v>25</v>
      </c>
      <c r="N62" s="16">
        <v>0</v>
      </c>
      <c r="O62" s="20">
        <f>K62+L62+M62+N62</f>
        <v>60</v>
      </c>
      <c r="P62" s="23" t="str">
        <f>IF(O62&gt;=80,"✅ High Quality",IF(O62&gt;=60,"🟡 Acceptable",IF(O62&gt;=40,"⚠️ Use with Caution","🔴 Insufficient")))</f>
        <v>🟡 Acceptable</v>
      </c>
      <c r="Q62" s="82"/>
    </row>
    <row r="63" spans="1:17" ht="26" hidden="1" x14ac:dyDescent="0.2">
      <c r="A63" s="134" t="s">
        <v>552</v>
      </c>
      <c r="B63" s="14" t="s">
        <v>314</v>
      </c>
      <c r="C63" s="130" t="s">
        <v>315</v>
      </c>
      <c r="D63" s="128">
        <v>18289</v>
      </c>
      <c r="E63" s="84" t="s">
        <v>526</v>
      </c>
      <c r="F63" s="24" t="s">
        <v>316</v>
      </c>
      <c r="G63" s="18">
        <v>2019</v>
      </c>
      <c r="H63" s="71"/>
      <c r="I63" s="78"/>
      <c r="J63" s="71"/>
      <c r="K63" s="16">
        <v>20</v>
      </c>
      <c r="L63" s="16">
        <v>15</v>
      </c>
      <c r="M63" s="16">
        <v>25</v>
      </c>
      <c r="N63" s="16">
        <v>0</v>
      </c>
      <c r="O63" s="20">
        <f>K63+L63+M63+N63</f>
        <v>60</v>
      </c>
      <c r="P63" s="23" t="str">
        <f>IF(O63&gt;=80,"✅ High Quality",IF(O63&gt;=60,"🟡 Acceptable",IF(O63&gt;=40,"⚠️ Use with Caution","🔴 Insufficient")))</f>
        <v>🟡 Acceptable</v>
      </c>
      <c r="Q63" s="82"/>
    </row>
    <row r="64" spans="1:17" ht="26" hidden="1" x14ac:dyDescent="0.2">
      <c r="A64" s="134" t="s">
        <v>552</v>
      </c>
      <c r="B64" s="14" t="s">
        <v>314</v>
      </c>
      <c r="C64" s="130" t="s">
        <v>315</v>
      </c>
      <c r="D64" s="128">
        <v>31179</v>
      </c>
      <c r="E64" s="84" t="s">
        <v>525</v>
      </c>
      <c r="F64" s="24" t="s">
        <v>316</v>
      </c>
      <c r="G64" s="18">
        <v>2025</v>
      </c>
      <c r="H64" s="71"/>
      <c r="I64" s="78"/>
      <c r="J64" s="71"/>
      <c r="K64" s="16">
        <v>20</v>
      </c>
      <c r="L64" s="16">
        <v>15</v>
      </c>
      <c r="M64" s="16">
        <v>25</v>
      </c>
      <c r="N64" s="16">
        <v>0</v>
      </c>
      <c r="O64" s="20">
        <f>K64+L64+M64+N64</f>
        <v>60</v>
      </c>
      <c r="P64" s="23" t="str">
        <f>IF(O64&gt;=80,"✅ High Quality",IF(O64&gt;=60,"🟡 Acceptable",IF(O64&gt;=40,"⚠️ Use with Caution","🔴 Insufficient")))</f>
        <v>🟡 Acceptable</v>
      </c>
      <c r="Q64" s="82"/>
    </row>
    <row r="65" spans="1:17" ht="26" hidden="1" x14ac:dyDescent="0.2">
      <c r="A65" s="134" t="s">
        <v>552</v>
      </c>
      <c r="B65" s="14" t="s">
        <v>314</v>
      </c>
      <c r="C65" s="130" t="s">
        <v>315</v>
      </c>
      <c r="D65" s="128">
        <v>21109</v>
      </c>
      <c r="E65" s="84" t="s">
        <v>525</v>
      </c>
      <c r="F65" s="24" t="s">
        <v>316</v>
      </c>
      <c r="G65" s="18">
        <v>2024</v>
      </c>
      <c r="H65" s="71"/>
      <c r="I65" s="78"/>
      <c r="J65" s="71"/>
      <c r="K65" s="16">
        <v>20</v>
      </c>
      <c r="L65" s="16">
        <v>15</v>
      </c>
      <c r="M65" s="16">
        <v>25</v>
      </c>
      <c r="N65" s="16">
        <v>0</v>
      </c>
      <c r="O65" s="20">
        <f>K65+L65+M65+N65</f>
        <v>60</v>
      </c>
      <c r="P65" s="23" t="str">
        <f>IF(O65&gt;=80,"✅ High Quality",IF(O65&gt;=60,"🟡 Acceptable",IF(O65&gt;=40,"⚠️ Use with Caution","🔴 Insufficient")))</f>
        <v>🟡 Acceptable</v>
      </c>
      <c r="Q65" s="82"/>
    </row>
    <row r="66" spans="1:17" ht="26" hidden="1" x14ac:dyDescent="0.2">
      <c r="A66" s="134" t="s">
        <v>552</v>
      </c>
      <c r="B66" s="14" t="s">
        <v>314</v>
      </c>
      <c r="C66" s="130" t="s">
        <v>315</v>
      </c>
      <c r="D66" s="128">
        <v>11272</v>
      </c>
      <c r="E66" s="84" t="s">
        <v>296</v>
      </c>
      <c r="F66" s="24" t="s">
        <v>316</v>
      </c>
      <c r="G66" s="18">
        <v>2023</v>
      </c>
      <c r="H66" s="71"/>
      <c r="I66" s="78"/>
      <c r="J66" s="71"/>
      <c r="K66" s="16">
        <v>20</v>
      </c>
      <c r="L66" s="16">
        <v>15</v>
      </c>
      <c r="M66" s="16">
        <v>25</v>
      </c>
      <c r="N66" s="16">
        <v>0</v>
      </c>
      <c r="O66" s="20">
        <f>K66+L66+M66+N66</f>
        <v>60</v>
      </c>
      <c r="P66" s="23" t="str">
        <f>IF(O66&gt;=80,"✅ High Quality",IF(O66&gt;=60,"🟡 Acceptable",IF(O66&gt;=40,"⚠️ Use with Caution","🔴 Insufficient")))</f>
        <v>🟡 Acceptable</v>
      </c>
      <c r="Q66" s="82"/>
    </row>
    <row r="67" spans="1:17" ht="26" hidden="1" x14ac:dyDescent="0.2">
      <c r="A67" s="134" t="s">
        <v>552</v>
      </c>
      <c r="B67" s="14" t="s">
        <v>314</v>
      </c>
      <c r="C67" s="130" t="s">
        <v>315</v>
      </c>
      <c r="D67" s="128">
        <v>12815</v>
      </c>
      <c r="E67" s="84" t="s">
        <v>296</v>
      </c>
      <c r="F67" s="24" t="s">
        <v>316</v>
      </c>
      <c r="G67" s="18">
        <v>2022</v>
      </c>
      <c r="H67" s="71"/>
      <c r="I67" s="78"/>
      <c r="J67" s="71"/>
      <c r="K67" s="16">
        <v>20</v>
      </c>
      <c r="L67" s="16">
        <v>15</v>
      </c>
      <c r="M67" s="16">
        <v>25</v>
      </c>
      <c r="N67" s="16">
        <v>0</v>
      </c>
      <c r="O67" s="20">
        <f>K67+L67+M67+N67</f>
        <v>60</v>
      </c>
      <c r="P67" s="23" t="str">
        <f>IF(O67&gt;=80,"✅ High Quality",IF(O67&gt;=60,"🟡 Acceptable",IF(O67&gt;=40,"⚠️ Use with Caution","🔴 Insufficient")))</f>
        <v>🟡 Acceptable</v>
      </c>
      <c r="Q67" s="82"/>
    </row>
    <row r="68" spans="1:17" ht="26" hidden="1" x14ac:dyDescent="0.2">
      <c r="A68" s="134" t="s">
        <v>552</v>
      </c>
      <c r="B68" s="14" t="s">
        <v>314</v>
      </c>
      <c r="C68" s="130" t="s">
        <v>315</v>
      </c>
      <c r="D68" s="128">
        <v>10107</v>
      </c>
      <c r="E68" s="84" t="s">
        <v>296</v>
      </c>
      <c r="F68" s="24" t="s">
        <v>316</v>
      </c>
      <c r="G68" s="18">
        <v>2021</v>
      </c>
      <c r="H68" s="71"/>
      <c r="I68" s="78"/>
      <c r="J68" s="71"/>
      <c r="K68" s="16">
        <v>20</v>
      </c>
      <c r="L68" s="16">
        <v>15</v>
      </c>
      <c r="M68" s="16">
        <v>25</v>
      </c>
      <c r="N68" s="16">
        <v>0</v>
      </c>
      <c r="O68" s="20">
        <f>K68+L68+M68+N68</f>
        <v>60</v>
      </c>
      <c r="P68" s="23" t="str">
        <f>IF(O68&gt;=80,"✅ High Quality",IF(O68&gt;=60,"🟡 Acceptable",IF(O68&gt;=40,"⚠️ Use with Caution","🔴 Insufficient")))</f>
        <v>🟡 Acceptable</v>
      </c>
      <c r="Q68" s="82"/>
    </row>
    <row r="69" spans="1:17" ht="26" hidden="1" x14ac:dyDescent="0.2">
      <c r="A69" s="134" t="s">
        <v>552</v>
      </c>
      <c r="B69" s="14" t="s">
        <v>314</v>
      </c>
      <c r="C69" s="130" t="s">
        <v>315</v>
      </c>
      <c r="D69" s="128">
        <v>8530</v>
      </c>
      <c r="E69" s="84" t="s">
        <v>296</v>
      </c>
      <c r="F69" s="24" t="s">
        <v>316</v>
      </c>
      <c r="G69" s="18">
        <v>2020</v>
      </c>
      <c r="H69" s="71"/>
      <c r="I69" s="78"/>
      <c r="J69" s="71"/>
      <c r="K69" s="16">
        <v>20</v>
      </c>
      <c r="L69" s="16">
        <v>15</v>
      </c>
      <c r="M69" s="16">
        <v>25</v>
      </c>
      <c r="N69" s="16">
        <v>0</v>
      </c>
      <c r="O69" s="20">
        <f>K69+L69+M69+N69</f>
        <v>60</v>
      </c>
      <c r="P69" s="23" t="str">
        <f>IF(O69&gt;=80,"✅ High Quality",IF(O69&gt;=60,"🟡 Acceptable",IF(O69&gt;=40,"⚠️ Use with Caution","🔴 Insufficient")))</f>
        <v>🟡 Acceptable</v>
      </c>
      <c r="Q69" s="82"/>
    </row>
    <row r="70" spans="1:17" ht="26" hidden="1" x14ac:dyDescent="0.2">
      <c r="A70" s="134" t="s">
        <v>552</v>
      </c>
      <c r="B70" s="14" t="s">
        <v>314</v>
      </c>
      <c r="C70" s="130" t="s">
        <v>315</v>
      </c>
      <c r="D70" s="128">
        <v>9048</v>
      </c>
      <c r="E70" s="84" t="s">
        <v>296</v>
      </c>
      <c r="F70" s="24" t="s">
        <v>316</v>
      </c>
      <c r="G70" s="18">
        <v>2019</v>
      </c>
      <c r="H70" s="71"/>
      <c r="I70" s="78"/>
      <c r="J70" s="71"/>
      <c r="K70" s="16">
        <v>20</v>
      </c>
      <c r="L70" s="16">
        <v>15</v>
      </c>
      <c r="M70" s="16">
        <v>25</v>
      </c>
      <c r="N70" s="16">
        <v>0</v>
      </c>
      <c r="O70" s="20">
        <f>K70+L70+M70+N70</f>
        <v>60</v>
      </c>
      <c r="P70" s="23" t="str">
        <f>IF(O70&gt;=80,"✅ High Quality",IF(O70&gt;=60,"🟡 Acceptable",IF(O70&gt;=40,"⚠️ Use with Caution","🔴 Insufficient")))</f>
        <v>🟡 Acceptable</v>
      </c>
      <c r="Q70" s="82"/>
    </row>
  </sheetData>
  <autoFilter ref="B1:G70" xr:uid="{297900F7-03BA-6643-A831-0C6D7771DC66}">
    <filterColumn colId="1">
      <filters>
        <filter val="Market Capitalization"/>
      </filters>
    </filterColumn>
    <sortState xmlns:xlrd2="http://schemas.microsoft.com/office/spreadsheetml/2017/richdata2" ref="B2:G70">
      <sortCondition descending="1" ref="C1:C70"/>
    </sortState>
  </autoFilter>
  <conditionalFormatting sqref="O2:O37">
    <cfRule type="colorScale" priority="4">
      <colorScale>
        <cfvo type="num" val="0"/>
        <cfvo type="num" val="60"/>
        <cfvo type="num" val="100"/>
        <color rgb="FFFFAAAA"/>
        <color rgb="FFFFFF99"/>
        <color rgb="FF90EE90"/>
      </colorScale>
    </cfRule>
  </conditionalFormatting>
  <conditionalFormatting sqref="O38:O48">
    <cfRule type="colorScale" priority="3">
      <colorScale>
        <cfvo type="num" val="0"/>
        <cfvo type="num" val="60"/>
        <cfvo type="num" val="100"/>
        <color rgb="FFFFAAAA"/>
        <color rgb="FFFFFF99"/>
        <color rgb="FF90EE90"/>
      </colorScale>
    </cfRule>
  </conditionalFormatting>
  <conditionalFormatting sqref="O49:O59">
    <cfRule type="colorScale" priority="2">
      <colorScale>
        <cfvo type="num" val="0"/>
        <cfvo type="num" val="60"/>
        <cfvo type="num" val="100"/>
        <color rgb="FFFFAAAA"/>
        <color rgb="FFFFFF99"/>
        <color rgb="FF90EE90"/>
      </colorScale>
    </cfRule>
  </conditionalFormatting>
  <conditionalFormatting sqref="O60:O70">
    <cfRule type="colorScale" priority="1">
      <colorScale>
        <cfvo type="num" val="0"/>
        <cfvo type="num" val="60"/>
        <cfvo type="num" val="100"/>
        <color rgb="FFFFAAAA"/>
        <color rgb="FFFFFF99"/>
        <color rgb="FF90EE90"/>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565C0"/>
  </sheetPr>
  <dimension ref="A1:K39"/>
  <sheetViews>
    <sheetView showGridLines="0" topLeftCell="A4" workbookViewId="0">
      <selection activeCell="B33" sqref="B33"/>
    </sheetView>
  </sheetViews>
  <sheetFormatPr baseColWidth="10" defaultColWidth="8.6640625" defaultRowHeight="15" x14ac:dyDescent="0.2"/>
  <cols>
    <col min="1" max="1" width="24" customWidth="1"/>
    <col min="2" max="7" width="20" customWidth="1"/>
    <col min="8" max="10" width="16" customWidth="1"/>
    <col min="11" max="11" width="36" customWidth="1"/>
  </cols>
  <sheetData>
    <row r="1" spans="1:11" ht="36" customHeight="1" x14ac:dyDescent="0.2">
      <c r="A1" s="110" t="s">
        <v>320</v>
      </c>
      <c r="B1" s="102"/>
      <c r="C1" s="102"/>
      <c r="D1" s="102"/>
      <c r="E1" s="102"/>
      <c r="F1" s="102"/>
      <c r="G1" s="102"/>
      <c r="H1" s="102"/>
      <c r="I1" s="102"/>
      <c r="J1" s="102"/>
      <c r="K1" s="102"/>
    </row>
    <row r="2" spans="1:11" ht="18" customHeight="1" x14ac:dyDescent="0.2">
      <c r="A2" s="109" t="s">
        <v>321</v>
      </c>
      <c r="B2" s="102"/>
      <c r="C2" s="102"/>
      <c r="D2" s="102"/>
      <c r="E2" s="102"/>
      <c r="F2" s="102"/>
      <c r="G2" s="102"/>
      <c r="H2" s="102"/>
      <c r="I2" s="102"/>
      <c r="J2" s="102"/>
      <c r="K2" s="102"/>
    </row>
    <row r="4" spans="1:11" ht="24" customHeight="1" x14ac:dyDescent="0.2">
      <c r="A4" s="118" t="s">
        <v>322</v>
      </c>
      <c r="B4" s="102"/>
      <c r="C4" s="102"/>
      <c r="D4" s="102"/>
      <c r="E4" s="102"/>
      <c r="F4" s="102"/>
      <c r="G4" s="102"/>
      <c r="H4" s="102"/>
      <c r="I4" s="102"/>
      <c r="J4" s="102"/>
      <c r="K4" s="102"/>
    </row>
    <row r="5" spans="1:11" ht="19.5" customHeight="1" x14ac:dyDescent="0.2">
      <c r="A5" s="4" t="s">
        <v>323</v>
      </c>
      <c r="B5" s="111"/>
      <c r="C5" s="102"/>
      <c r="D5" s="102"/>
      <c r="E5" s="102"/>
      <c r="F5" s="102"/>
      <c r="G5" s="102"/>
      <c r="H5" s="102"/>
      <c r="I5" s="102"/>
      <c r="J5" s="102"/>
      <c r="K5" s="102"/>
    </row>
    <row r="6" spans="1:11" ht="27.75" customHeight="1" x14ac:dyDescent="0.2">
      <c r="A6" s="11" t="s">
        <v>324</v>
      </c>
      <c r="B6" s="11" t="s">
        <v>325</v>
      </c>
      <c r="C6" s="11" t="s">
        <v>326</v>
      </c>
      <c r="D6" s="11" t="s">
        <v>327</v>
      </c>
      <c r="E6" s="11" t="s">
        <v>328</v>
      </c>
    </row>
    <row r="7" spans="1:11" ht="19.5" customHeight="1" x14ac:dyDescent="0.2">
      <c r="A7" s="27" t="s">
        <v>329</v>
      </c>
      <c r="B7" s="28" t="s">
        <v>330</v>
      </c>
      <c r="C7" s="28" t="s">
        <v>330</v>
      </c>
      <c r="D7" s="28" t="s">
        <v>330</v>
      </c>
      <c r="E7" s="29" t="str">
        <f>IF(AND(ISNUMBER(B7),ISNUMBER(C7)),ABS(B7-C7)/ABS(B7),"N/A")</f>
        <v>N/A</v>
      </c>
    </row>
    <row r="8" spans="1:11" ht="19.5" customHeight="1" x14ac:dyDescent="0.2">
      <c r="A8" s="30" t="s">
        <v>331</v>
      </c>
      <c r="B8" s="28" t="s">
        <v>332</v>
      </c>
      <c r="C8" s="28" t="s">
        <v>332</v>
      </c>
      <c r="D8" s="28" t="s">
        <v>332</v>
      </c>
      <c r="E8" s="31"/>
    </row>
    <row r="9" spans="1:11" ht="19.5" customHeight="1" x14ac:dyDescent="0.2">
      <c r="A9" s="27" t="s">
        <v>268</v>
      </c>
      <c r="B9" s="28" t="s">
        <v>333</v>
      </c>
      <c r="C9" s="28" t="s">
        <v>333</v>
      </c>
      <c r="D9" s="28" t="s">
        <v>333</v>
      </c>
      <c r="E9" s="32"/>
    </row>
    <row r="10" spans="1:11" ht="19.5" customHeight="1" x14ac:dyDescent="0.2">
      <c r="A10" s="30" t="s">
        <v>271</v>
      </c>
      <c r="B10" s="28" t="s">
        <v>334</v>
      </c>
      <c r="C10" s="28" t="s">
        <v>334</v>
      </c>
      <c r="D10" s="28" t="s">
        <v>334</v>
      </c>
      <c r="E10" s="31"/>
    </row>
    <row r="11" spans="1:11" ht="19.5" customHeight="1" x14ac:dyDescent="0.2">
      <c r="A11" s="27" t="s">
        <v>270</v>
      </c>
      <c r="B11" s="28" t="s">
        <v>335</v>
      </c>
      <c r="C11" s="28" t="s">
        <v>335</v>
      </c>
      <c r="D11" s="28" t="s">
        <v>335</v>
      </c>
      <c r="E11" s="32"/>
    </row>
    <row r="12" spans="1:11" ht="19.5" customHeight="1" x14ac:dyDescent="0.2">
      <c r="A12" s="117" t="s">
        <v>336</v>
      </c>
      <c r="B12" s="102"/>
      <c r="C12" s="102"/>
      <c r="D12" s="102"/>
      <c r="E12" s="102"/>
      <c r="F12" s="102"/>
      <c r="G12" s="102"/>
      <c r="H12" s="102"/>
      <c r="I12" s="102"/>
      <c r="J12" s="102"/>
      <c r="K12" s="102"/>
    </row>
    <row r="13" spans="1:11" ht="31.5" customHeight="1" x14ac:dyDescent="0.2">
      <c r="A13" s="112" t="s">
        <v>337</v>
      </c>
      <c r="B13" s="113"/>
      <c r="C13" s="113"/>
      <c r="D13" s="113"/>
      <c r="E13" s="113"/>
      <c r="F13" s="113"/>
      <c r="G13" s="113"/>
      <c r="H13" s="113"/>
      <c r="I13" s="113"/>
      <c r="J13" s="113"/>
      <c r="K13" s="113"/>
    </row>
    <row r="14" spans="1:11" ht="19.5" customHeight="1" x14ac:dyDescent="0.2">
      <c r="A14" s="114"/>
      <c r="B14" s="102"/>
      <c r="C14" s="102"/>
      <c r="D14" s="102"/>
      <c r="E14" s="102"/>
      <c r="F14" s="102"/>
      <c r="G14" s="102"/>
      <c r="H14" s="102"/>
      <c r="I14" s="102"/>
      <c r="J14" s="102"/>
      <c r="K14" s="102"/>
    </row>
    <row r="15" spans="1:11" ht="7.5" customHeight="1" x14ac:dyDescent="0.2"/>
    <row r="16" spans="1:11" ht="24" customHeight="1" x14ac:dyDescent="0.2">
      <c r="A16" s="115" t="s">
        <v>338</v>
      </c>
      <c r="B16" s="102"/>
      <c r="C16" s="102"/>
      <c r="D16" s="102"/>
      <c r="E16" s="102"/>
      <c r="F16" s="102"/>
      <c r="G16" s="102"/>
      <c r="H16" s="102"/>
      <c r="I16" s="102"/>
      <c r="J16" s="102"/>
      <c r="K16" s="102"/>
    </row>
    <row r="17" spans="1:11" ht="19.5" customHeight="1" x14ac:dyDescent="0.2">
      <c r="A17" s="4" t="s">
        <v>323</v>
      </c>
      <c r="B17" s="111"/>
      <c r="C17" s="102"/>
      <c r="D17" s="102"/>
      <c r="E17" s="102"/>
      <c r="F17" s="102"/>
      <c r="G17" s="102"/>
      <c r="H17" s="102"/>
      <c r="I17" s="102"/>
      <c r="J17" s="102"/>
      <c r="K17" s="102"/>
    </row>
    <row r="18" spans="1:11" ht="27.75" customHeight="1" x14ac:dyDescent="0.2">
      <c r="A18" s="11" t="s">
        <v>324</v>
      </c>
      <c r="B18" s="11" t="s">
        <v>325</v>
      </c>
      <c r="C18" s="11" t="s">
        <v>326</v>
      </c>
      <c r="D18" s="11" t="s">
        <v>327</v>
      </c>
      <c r="E18" s="11" t="s">
        <v>328</v>
      </c>
    </row>
    <row r="19" spans="1:11" ht="19.5" customHeight="1" x14ac:dyDescent="0.2">
      <c r="A19" s="27" t="s">
        <v>329</v>
      </c>
      <c r="B19" s="28" t="s">
        <v>330</v>
      </c>
      <c r="C19" s="28" t="s">
        <v>330</v>
      </c>
      <c r="D19" s="28" t="s">
        <v>330</v>
      </c>
      <c r="E19" s="29" t="str">
        <f>IF(AND(ISNUMBER(B19),ISNUMBER(C19)),ABS(B19-C19)/ABS(B19),"N/A")</f>
        <v>N/A</v>
      </c>
    </row>
    <row r="20" spans="1:11" ht="19.5" customHeight="1" x14ac:dyDescent="0.2">
      <c r="A20" s="30" t="s">
        <v>331</v>
      </c>
      <c r="B20" s="28" t="s">
        <v>332</v>
      </c>
      <c r="C20" s="28" t="s">
        <v>332</v>
      </c>
      <c r="D20" s="28" t="s">
        <v>332</v>
      </c>
      <c r="E20" s="31"/>
    </row>
    <row r="21" spans="1:11" ht="19.5" customHeight="1" x14ac:dyDescent="0.2">
      <c r="A21" s="27" t="s">
        <v>268</v>
      </c>
      <c r="B21" s="28" t="s">
        <v>333</v>
      </c>
      <c r="C21" s="28" t="s">
        <v>333</v>
      </c>
      <c r="D21" s="28" t="s">
        <v>333</v>
      </c>
      <c r="E21" s="32"/>
    </row>
    <row r="22" spans="1:11" ht="19.5" customHeight="1" x14ac:dyDescent="0.2">
      <c r="A22" s="30" t="s">
        <v>271</v>
      </c>
      <c r="B22" s="28" t="s">
        <v>334</v>
      </c>
      <c r="C22" s="28" t="s">
        <v>334</v>
      </c>
      <c r="D22" s="28" t="s">
        <v>334</v>
      </c>
      <c r="E22" s="31"/>
    </row>
    <row r="23" spans="1:11" ht="19.5" customHeight="1" x14ac:dyDescent="0.2">
      <c r="A23" s="27" t="s">
        <v>270</v>
      </c>
      <c r="B23" s="28" t="s">
        <v>335</v>
      </c>
      <c r="C23" s="28" t="s">
        <v>335</v>
      </c>
      <c r="D23" s="28" t="s">
        <v>335</v>
      </c>
      <c r="E23" s="32"/>
    </row>
    <row r="24" spans="1:11" ht="19.5" customHeight="1" x14ac:dyDescent="0.2">
      <c r="A24" s="117" t="s">
        <v>336</v>
      </c>
      <c r="B24" s="102"/>
      <c r="C24" s="102"/>
      <c r="D24" s="102"/>
      <c r="E24" s="102"/>
      <c r="F24" s="102"/>
      <c r="G24" s="102"/>
      <c r="H24" s="102"/>
      <c r="I24" s="102"/>
      <c r="J24" s="102"/>
      <c r="K24" s="102"/>
    </row>
    <row r="25" spans="1:11" ht="31.5" customHeight="1" x14ac:dyDescent="0.2">
      <c r="A25" s="112" t="s">
        <v>337</v>
      </c>
      <c r="B25" s="113"/>
      <c r="C25" s="113"/>
      <c r="D25" s="113"/>
      <c r="E25" s="113"/>
      <c r="F25" s="113"/>
      <c r="G25" s="113"/>
      <c r="H25" s="113"/>
      <c r="I25" s="113"/>
      <c r="J25" s="113"/>
      <c r="K25" s="113"/>
    </row>
    <row r="26" spans="1:11" ht="19.5" customHeight="1" x14ac:dyDescent="0.2">
      <c r="A26" s="114"/>
      <c r="B26" s="102"/>
      <c r="C26" s="102"/>
      <c r="D26" s="102"/>
      <c r="E26" s="102"/>
      <c r="F26" s="102"/>
      <c r="G26" s="102"/>
      <c r="H26" s="102"/>
      <c r="I26" s="102"/>
      <c r="J26" s="102"/>
      <c r="K26" s="102"/>
    </row>
    <row r="27" spans="1:11" ht="7.5" customHeight="1" x14ac:dyDescent="0.2"/>
    <row r="28" spans="1:11" ht="24" customHeight="1" x14ac:dyDescent="0.2">
      <c r="A28" s="116" t="s">
        <v>339</v>
      </c>
      <c r="B28" s="102"/>
      <c r="C28" s="102"/>
      <c r="D28" s="102"/>
      <c r="E28" s="102"/>
      <c r="F28" s="102"/>
      <c r="G28" s="102"/>
      <c r="H28" s="102"/>
      <c r="I28" s="102"/>
      <c r="J28" s="102"/>
      <c r="K28" s="102"/>
    </row>
    <row r="29" spans="1:11" ht="19.5" customHeight="1" x14ac:dyDescent="0.2">
      <c r="A29" s="4" t="s">
        <v>323</v>
      </c>
      <c r="B29" s="111"/>
      <c r="C29" s="102"/>
      <c r="D29" s="102"/>
      <c r="E29" s="102"/>
      <c r="F29" s="102"/>
      <c r="G29" s="102"/>
      <c r="H29" s="102"/>
      <c r="I29" s="102"/>
      <c r="J29" s="102"/>
      <c r="K29" s="102"/>
    </row>
    <row r="30" spans="1:11" ht="27.75" customHeight="1" x14ac:dyDescent="0.2">
      <c r="A30" s="11" t="s">
        <v>324</v>
      </c>
      <c r="B30" s="11" t="s">
        <v>325</v>
      </c>
      <c r="C30" s="11" t="s">
        <v>326</v>
      </c>
      <c r="D30" s="11" t="s">
        <v>327</v>
      </c>
      <c r="E30" s="11" t="s">
        <v>328</v>
      </c>
    </row>
    <row r="31" spans="1:11" ht="19.5" customHeight="1" x14ac:dyDescent="0.2">
      <c r="A31" s="27" t="s">
        <v>329</v>
      </c>
      <c r="B31" s="28" t="s">
        <v>330</v>
      </c>
      <c r="C31" s="28" t="s">
        <v>330</v>
      </c>
      <c r="D31" s="28" t="s">
        <v>330</v>
      </c>
      <c r="E31" s="29" t="str">
        <f>IF(AND(ISNUMBER(B31),ISNUMBER(C31)),ABS(B31-C31)/ABS(B31),"N/A")</f>
        <v>N/A</v>
      </c>
    </row>
    <row r="32" spans="1:11" ht="19.5" customHeight="1" x14ac:dyDescent="0.2">
      <c r="A32" s="30" t="s">
        <v>331</v>
      </c>
      <c r="B32" s="28" t="s">
        <v>332</v>
      </c>
      <c r="C32" s="28" t="s">
        <v>332</v>
      </c>
      <c r="D32" s="28" t="s">
        <v>332</v>
      </c>
      <c r="E32" s="31"/>
    </row>
    <row r="33" spans="1:11" ht="19.5" customHeight="1" x14ac:dyDescent="0.2">
      <c r="A33" s="27" t="s">
        <v>268</v>
      </c>
      <c r="B33" s="28" t="s">
        <v>333</v>
      </c>
      <c r="C33" s="28" t="s">
        <v>333</v>
      </c>
      <c r="D33" s="28" t="s">
        <v>333</v>
      </c>
      <c r="E33" s="32"/>
    </row>
    <row r="34" spans="1:11" ht="19.5" customHeight="1" x14ac:dyDescent="0.2">
      <c r="A34" s="30" t="s">
        <v>271</v>
      </c>
      <c r="B34" s="28" t="s">
        <v>334</v>
      </c>
      <c r="C34" s="28" t="s">
        <v>334</v>
      </c>
      <c r="D34" s="28" t="s">
        <v>334</v>
      </c>
      <c r="E34" s="31"/>
    </row>
    <row r="35" spans="1:11" ht="19.5" customHeight="1" x14ac:dyDescent="0.2">
      <c r="A35" s="27" t="s">
        <v>270</v>
      </c>
      <c r="B35" s="28" t="s">
        <v>335</v>
      </c>
      <c r="C35" s="28" t="s">
        <v>335</v>
      </c>
      <c r="D35" s="28" t="s">
        <v>335</v>
      </c>
      <c r="E35" s="32"/>
    </row>
    <row r="36" spans="1:11" ht="19.5" customHeight="1" x14ac:dyDescent="0.2">
      <c r="A36" s="117" t="s">
        <v>336</v>
      </c>
      <c r="B36" s="102"/>
      <c r="C36" s="102"/>
      <c r="D36" s="102"/>
      <c r="E36" s="102"/>
      <c r="F36" s="102"/>
      <c r="G36" s="102"/>
      <c r="H36" s="102"/>
      <c r="I36" s="102"/>
      <c r="J36" s="102"/>
      <c r="K36" s="102"/>
    </row>
    <row r="37" spans="1:11" ht="31.5" customHeight="1" x14ac:dyDescent="0.2">
      <c r="A37" s="112" t="s">
        <v>337</v>
      </c>
      <c r="B37" s="113"/>
      <c r="C37" s="113"/>
      <c r="D37" s="113"/>
      <c r="E37" s="113"/>
      <c r="F37" s="113"/>
      <c r="G37" s="113"/>
      <c r="H37" s="113"/>
      <c r="I37" s="113"/>
      <c r="J37" s="113"/>
      <c r="K37" s="113"/>
    </row>
    <row r="38" spans="1:11" ht="19.5" customHeight="1" x14ac:dyDescent="0.2">
      <c r="A38" s="114"/>
      <c r="B38" s="102"/>
      <c r="C38" s="102"/>
      <c r="D38" s="102"/>
      <c r="E38" s="102"/>
      <c r="F38" s="102"/>
      <c r="G38" s="102"/>
      <c r="H38" s="102"/>
      <c r="I38" s="102"/>
      <c r="J38" s="102"/>
      <c r="K38" s="102"/>
    </row>
    <row r="39" spans="1:11" ht="7.5" customHeight="1" x14ac:dyDescent="0.2"/>
  </sheetData>
  <mergeCells count="14">
    <mergeCell ref="A1:K1"/>
    <mergeCell ref="B5:K5"/>
    <mergeCell ref="A37:K38"/>
    <mergeCell ref="A16:K16"/>
    <mergeCell ref="B29:K29"/>
    <mergeCell ref="A2:K2"/>
    <mergeCell ref="A28:K28"/>
    <mergeCell ref="A36:K36"/>
    <mergeCell ref="A25:K26"/>
    <mergeCell ref="A12:K12"/>
    <mergeCell ref="A4:K4"/>
    <mergeCell ref="A13:K14"/>
    <mergeCell ref="B17:K17"/>
    <mergeCell ref="A24:K24"/>
  </mergeCells>
  <conditionalFormatting sqref="E7">
    <cfRule type="cellIs" dxfId="19" priority="4" operator="greaterThan">
      <formula>0.05</formula>
    </cfRule>
  </conditionalFormatting>
  <conditionalFormatting sqref="E19">
    <cfRule type="cellIs" dxfId="18" priority="2" operator="greaterThan">
      <formula>0.05</formula>
    </cfRule>
  </conditionalFormatting>
  <conditionalFormatting sqref="E31">
    <cfRule type="cellIs" dxfId="17" priority="1" operator="greaterThan">
      <formula>0.05</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8A020"/>
  </sheetPr>
  <dimension ref="A1:M29"/>
  <sheetViews>
    <sheetView showGridLines="0" workbookViewId="0">
      <selection activeCell="A15" sqref="A15"/>
    </sheetView>
  </sheetViews>
  <sheetFormatPr baseColWidth="10" defaultColWidth="8.6640625" defaultRowHeight="15" x14ac:dyDescent="0.2"/>
  <cols>
    <col min="1" max="1" width="22" customWidth="1"/>
    <col min="2" max="2" width="31.6640625" bestFit="1" customWidth="1"/>
    <col min="3" max="4" width="16" customWidth="1"/>
    <col min="5" max="5" width="19.5" customWidth="1"/>
    <col min="6" max="6" width="15.5" customWidth="1"/>
    <col min="7" max="9" width="14" customWidth="1"/>
    <col min="10" max="10" width="28" customWidth="1"/>
  </cols>
  <sheetData>
    <row r="1" spans="1:10" ht="42" customHeight="1" x14ac:dyDescent="0.2">
      <c r="A1" s="119" t="s">
        <v>340</v>
      </c>
      <c r="B1" s="102"/>
      <c r="C1" s="102"/>
      <c r="D1" s="102"/>
      <c r="E1" s="102"/>
      <c r="F1" s="102"/>
      <c r="G1" s="102"/>
      <c r="H1" s="102"/>
      <c r="I1" s="102"/>
      <c r="J1" s="102"/>
    </row>
    <row r="2" spans="1:10" ht="18" customHeight="1" x14ac:dyDescent="0.2">
      <c r="A2" s="109" t="s">
        <v>341</v>
      </c>
      <c r="B2" s="102"/>
      <c r="C2" s="102"/>
      <c r="D2" s="102"/>
      <c r="E2" s="102"/>
      <c r="F2" s="102"/>
      <c r="G2" s="102"/>
      <c r="H2" s="102"/>
      <c r="I2" s="102"/>
      <c r="J2" s="102"/>
    </row>
    <row r="4" spans="1:10" ht="21.75" customHeight="1" x14ac:dyDescent="0.2">
      <c r="A4" s="103" t="s">
        <v>342</v>
      </c>
      <c r="B4" s="102"/>
      <c r="C4" s="102"/>
      <c r="D4" s="102"/>
      <c r="E4" s="102"/>
      <c r="F4" s="102"/>
    </row>
    <row r="5" spans="1:10" ht="24" customHeight="1" x14ac:dyDescent="0.2">
      <c r="A5" s="37" t="s">
        <v>343</v>
      </c>
      <c r="B5" s="37" t="s">
        <v>344</v>
      </c>
      <c r="C5" s="37" t="s">
        <v>345</v>
      </c>
      <c r="D5" s="37" t="s">
        <v>346</v>
      </c>
      <c r="E5" s="37" t="s">
        <v>347</v>
      </c>
      <c r="F5" s="37" t="s">
        <v>348</v>
      </c>
    </row>
    <row r="6" spans="1:10" ht="21.75" customHeight="1" x14ac:dyDescent="0.2">
      <c r="A6" s="38" t="s">
        <v>349</v>
      </c>
      <c r="B6" s="39">
        <f>COUNTA('E Data_Inventory'!D4:D250)</f>
        <v>237</v>
      </c>
      <c r="C6" s="40">
        <f>IFERROR(AVERAGE('E Data_Inventory'!P4:P250),"No data")</f>
        <v>61.962025316455694</v>
      </c>
      <c r="D6" s="39">
        <f>COUNTIF('E Data_Inventory'!Q4:Q245,"✅ High Quality")</f>
        <v>58</v>
      </c>
      <c r="E6" s="39">
        <f>COUNTIF('E Data_Inventory'!Q4:Q245,"🟡 Acceptable")</f>
        <v>117</v>
      </c>
      <c r="F6" s="39">
        <f>COUNTIF('E Data_Inventory'!Q4:Q245,"⚠️ Use with Caution")+COUNTIF('E Data_Inventory'!Q4:Q245,"🔴 Insufficient")</f>
        <v>62</v>
      </c>
    </row>
    <row r="7" spans="1:10" ht="21.75" customHeight="1" x14ac:dyDescent="0.2">
      <c r="A7" s="41" t="s">
        <v>350</v>
      </c>
      <c r="B7" s="42">
        <f>COUNTA('S Data_Inventory '!D4:D90)</f>
        <v>80</v>
      </c>
      <c r="C7" s="40">
        <f>IFERROR(AVERAGE('S Data_Inventory '!P4:P90),"No data")</f>
        <v>77.0625</v>
      </c>
      <c r="D7" s="42">
        <f>COUNTIF('S Data_Inventory '!Q4:Q94,"✅ High Quality")</f>
        <v>49</v>
      </c>
      <c r="E7" s="42">
        <f>COUNTIF('S Data_Inventory '!Q4:Q94,"🟡 Acceptable")</f>
        <v>31</v>
      </c>
      <c r="F7" s="42">
        <f>COUNTIF('S Data_Inventory '!Q4:Q94,"⚠️ Use with Caution")+COUNTIF('S Data_Inventory '!Q4:Q94,"🔴 Insufficient")</f>
        <v>0</v>
      </c>
    </row>
    <row r="8" spans="1:10" ht="21.75" customHeight="1" x14ac:dyDescent="0.2">
      <c r="A8" s="43" t="s">
        <v>351</v>
      </c>
      <c r="B8" s="44">
        <f>COUNTA('G Data_Inventory '!D4:D180)</f>
        <v>67</v>
      </c>
      <c r="C8" s="40">
        <f>IFERROR(AVERAGE('G Data_Inventory '!P4:P75),"No data")</f>
        <v>49.701492537313435</v>
      </c>
      <c r="D8" s="44">
        <f>COUNTIF('G Data_Inventory '!Q5:Q195,"✅ High Quality")</f>
        <v>36</v>
      </c>
      <c r="E8" s="44">
        <f>COUNTIF('G Data_Inventory '!Q5:Q195,"🟡 Acceptable")</f>
        <v>0</v>
      </c>
      <c r="F8" s="44">
        <f>COUNTIF('G Data_Inventory '!Q5:Q195,"⚠️ Use with Caution")+COUNTIF('G Data_Inventory '!Q5:Q195,"🔴 Insufficient")</f>
        <v>30</v>
      </c>
    </row>
    <row r="9" spans="1:10" ht="21.75" customHeight="1" x14ac:dyDescent="0.2">
      <c r="A9" s="45" t="s">
        <v>314</v>
      </c>
      <c r="B9" s="46">
        <f>COUNTA('P Data_Inventory'!C2:C70)</f>
        <v>69</v>
      </c>
      <c r="C9" s="40">
        <f>IFERROR(AVERAGE('P Data_Inventory'!O2:O75),"No data")</f>
        <v>67.826086956521735</v>
      </c>
      <c r="D9" s="46">
        <f>COUNTIFS('E Data_Inventory'!B4:B302,"Financial",'E Data_Inventory'!Q4:Q302,"✅ High Quality")</f>
        <v>0</v>
      </c>
      <c r="E9" s="46">
        <f>COUNTIFS('E Data_Inventory'!B4:B302,"Financial",'E Data_Inventory'!Q4:Q302,"🟡 Acceptable")</f>
        <v>0</v>
      </c>
      <c r="F9" s="46">
        <f>COUNTIFS('E Data_Inventory'!B4:B302,"Financial",'E Data_Inventory'!Q4:Q302,"⚠️ Use with Caution")+COUNTIFS('E Data_Inventory'!B4:B302,"Financial",'E Data_Inventory'!Q4:Q302,"🔴 Insufficient")</f>
        <v>0</v>
      </c>
    </row>
    <row r="10" spans="1:10" ht="21.75" customHeight="1" x14ac:dyDescent="0.2">
      <c r="A10" s="47" t="s">
        <v>352</v>
      </c>
      <c r="B10" s="48">
        <f>SUM(B6:B9)</f>
        <v>453</v>
      </c>
      <c r="C10" s="49">
        <f>IFERROR(AVERAGE('E Data_Inventory'!P4:P302,'S Data_Inventory '!P4:P87,'G Data_Inventory '!P4:P74,'P Data_Inventory'!O2:O71),"No data")</f>
        <v>63.70860927152318</v>
      </c>
      <c r="D10" s="48">
        <f>SUM(D6:D9)</f>
        <v>143</v>
      </c>
      <c r="E10" s="48">
        <f>SUM(E6:E9)</f>
        <v>148</v>
      </c>
      <c r="F10" s="48">
        <f>SUM(F6:F9)</f>
        <v>92</v>
      </c>
    </row>
    <row r="13" spans="1:10" ht="21.75" customHeight="1" x14ac:dyDescent="0.2">
      <c r="A13" s="103" t="s">
        <v>353</v>
      </c>
      <c r="B13" s="102"/>
      <c r="C13" s="102"/>
      <c r="D13" s="102"/>
      <c r="E13" s="102"/>
      <c r="F13" s="102"/>
    </row>
    <row r="14" spans="1:10" ht="27.75" customHeight="1" x14ac:dyDescent="0.2">
      <c r="A14" s="37" t="s">
        <v>343</v>
      </c>
      <c r="B14" s="37" t="s">
        <v>46</v>
      </c>
      <c r="C14" s="37" t="s">
        <v>354</v>
      </c>
      <c r="D14" s="37" t="s">
        <v>355</v>
      </c>
      <c r="E14" s="122" t="s">
        <v>356</v>
      </c>
      <c r="F14" s="123"/>
    </row>
    <row r="15" spans="1:10" ht="29.25" customHeight="1" x14ac:dyDescent="0.2">
      <c r="A15" s="86"/>
      <c r="B15" s="87"/>
      <c r="C15" s="87"/>
      <c r="D15" s="87"/>
      <c r="E15" s="120"/>
      <c r="F15" s="121"/>
    </row>
    <row r="16" spans="1:10" ht="29.25" customHeight="1" x14ac:dyDescent="0.2">
      <c r="A16" s="86"/>
      <c r="B16" s="86"/>
      <c r="C16" s="86"/>
      <c r="D16" s="86"/>
      <c r="E16" s="120"/>
      <c r="F16" s="121"/>
    </row>
    <row r="17" spans="1:13" ht="29.25" customHeight="1" x14ac:dyDescent="0.2">
      <c r="A17" s="87"/>
      <c r="B17" s="87"/>
      <c r="C17" s="87"/>
      <c r="D17" s="87"/>
      <c r="E17" s="120"/>
      <c r="F17" s="121"/>
    </row>
    <row r="18" spans="1:13" ht="29.25" customHeight="1" x14ac:dyDescent="0.2">
      <c r="A18" s="86"/>
      <c r="B18" s="86"/>
      <c r="C18" s="86"/>
      <c r="D18" s="86"/>
      <c r="E18" s="120"/>
      <c r="F18" s="121"/>
    </row>
    <row r="19" spans="1:13" ht="29.25" customHeight="1" x14ac:dyDescent="0.2">
      <c r="A19" s="86"/>
      <c r="B19" s="50"/>
      <c r="C19" s="50"/>
      <c r="D19" s="50"/>
      <c r="E19" s="120"/>
      <c r="F19" s="121"/>
    </row>
    <row r="22" spans="1:13" ht="21.75" customHeight="1" x14ac:dyDescent="0.2">
      <c r="A22" s="103" t="s">
        <v>357</v>
      </c>
      <c r="B22" s="102"/>
      <c r="C22" s="102"/>
      <c r="D22" s="102"/>
      <c r="E22" s="102"/>
      <c r="F22" s="102"/>
    </row>
    <row r="23" spans="1:13" ht="21.75" customHeight="1" x14ac:dyDescent="0.2">
      <c r="A23" s="112" t="s">
        <v>358</v>
      </c>
      <c r="B23" s="113"/>
      <c r="C23" s="113"/>
      <c r="D23" s="113"/>
      <c r="E23" s="113"/>
      <c r="F23" s="113"/>
      <c r="G23" s="124"/>
      <c r="H23" s="124"/>
      <c r="I23" s="124"/>
      <c r="J23" s="124"/>
      <c r="K23" s="124"/>
      <c r="L23" s="124"/>
      <c r="M23" s="124"/>
    </row>
    <row r="24" spans="1:13" ht="21.75" customHeight="1" x14ac:dyDescent="0.2">
      <c r="A24" s="114"/>
      <c r="B24" s="102"/>
      <c r="C24" s="102"/>
      <c r="D24" s="102"/>
      <c r="E24" s="102"/>
      <c r="F24" s="102"/>
      <c r="G24" s="124"/>
      <c r="H24" s="124"/>
      <c r="I24" s="124"/>
      <c r="J24" s="124"/>
      <c r="K24" s="124"/>
      <c r="L24" s="124"/>
      <c r="M24" s="124"/>
    </row>
    <row r="25" spans="1:13" ht="21.75" customHeight="1" x14ac:dyDescent="0.2">
      <c r="A25" s="114"/>
      <c r="B25" s="102"/>
      <c r="C25" s="102"/>
      <c r="D25" s="102"/>
      <c r="E25" s="102"/>
      <c r="F25" s="102"/>
      <c r="G25" s="124"/>
      <c r="H25" s="124"/>
      <c r="I25" s="124"/>
      <c r="J25" s="124"/>
      <c r="K25" s="124"/>
      <c r="L25" s="124"/>
      <c r="M25" s="124"/>
    </row>
    <row r="26" spans="1:13" ht="21.75" customHeight="1" x14ac:dyDescent="0.2">
      <c r="A26" s="114"/>
      <c r="B26" s="102"/>
      <c r="C26" s="102"/>
      <c r="D26" s="102"/>
      <c r="E26" s="102"/>
      <c r="F26" s="102"/>
      <c r="G26" s="124"/>
      <c r="H26" s="124"/>
      <c r="I26" s="124"/>
      <c r="J26" s="124"/>
      <c r="K26" s="124"/>
      <c r="L26" s="124"/>
      <c r="M26" s="124"/>
    </row>
    <row r="27" spans="1:13" ht="21.75" customHeight="1" x14ac:dyDescent="0.2">
      <c r="A27" s="114"/>
      <c r="B27" s="102"/>
      <c r="C27" s="102"/>
      <c r="D27" s="102"/>
      <c r="E27" s="102"/>
      <c r="F27" s="102"/>
      <c r="G27" s="124"/>
      <c r="H27" s="124"/>
      <c r="I27" s="124"/>
      <c r="J27" s="124"/>
      <c r="K27" s="124"/>
      <c r="L27" s="124"/>
      <c r="M27" s="124"/>
    </row>
    <row r="28" spans="1:13" ht="21.75" customHeight="1" x14ac:dyDescent="0.2">
      <c r="A28" s="114"/>
      <c r="B28" s="102"/>
      <c r="C28" s="102"/>
      <c r="D28" s="102"/>
      <c r="E28" s="102"/>
      <c r="F28" s="102"/>
      <c r="G28" s="124"/>
      <c r="H28" s="124"/>
      <c r="I28" s="124"/>
      <c r="J28" s="124"/>
      <c r="K28" s="124"/>
      <c r="L28" s="124"/>
      <c r="M28" s="124"/>
    </row>
    <row r="29" spans="1:13" ht="21.75" customHeight="1" x14ac:dyDescent="0.2">
      <c r="A29" s="114"/>
      <c r="B29" s="102"/>
      <c r="C29" s="102"/>
      <c r="D29" s="102"/>
      <c r="E29" s="102"/>
      <c r="F29" s="102"/>
      <c r="G29" s="124"/>
      <c r="H29" s="124"/>
      <c r="I29" s="124"/>
      <c r="J29" s="124"/>
      <c r="K29" s="124"/>
      <c r="L29" s="124"/>
      <c r="M29" s="124"/>
    </row>
  </sheetData>
  <mergeCells count="13">
    <mergeCell ref="A23:F29"/>
    <mergeCell ref="A1:J1"/>
    <mergeCell ref="A13:F13"/>
    <mergeCell ref="A22:F22"/>
    <mergeCell ref="A4:F4"/>
    <mergeCell ref="A2:J2"/>
    <mergeCell ref="E15:F15"/>
    <mergeCell ref="E16:F16"/>
    <mergeCell ref="E17:F17"/>
    <mergeCell ref="E18:F18"/>
    <mergeCell ref="E19:F19"/>
    <mergeCell ref="E14:F14"/>
    <mergeCell ref="G23:M29"/>
  </mergeCells>
  <conditionalFormatting sqref="C6:C11">
    <cfRule type="colorScale" priority="2">
      <colorScale>
        <cfvo type="num" val="0"/>
        <cfvo type="num" val="60"/>
        <cfvo type="num" val="100"/>
        <color rgb="FFFFAAAA"/>
        <color rgb="FFFFFF99"/>
        <color rgb="FF90EE90"/>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A6B72"/>
  </sheetPr>
  <dimension ref="A1:M54"/>
  <sheetViews>
    <sheetView showGridLines="0" topLeftCell="C10" workbookViewId="0">
      <selection activeCell="I21" sqref="I21"/>
    </sheetView>
  </sheetViews>
  <sheetFormatPr baseColWidth="10" defaultColWidth="8.6640625" defaultRowHeight="15" x14ac:dyDescent="0.2"/>
  <cols>
    <col min="1" max="1" width="34.33203125" customWidth="1"/>
    <col min="2" max="2" width="28.6640625" customWidth="1"/>
    <col min="3" max="3" width="23.83203125" customWidth="1"/>
    <col min="4" max="5" width="50" customWidth="1"/>
    <col min="6" max="7" width="15" customWidth="1"/>
    <col min="8" max="8" width="52.83203125" customWidth="1"/>
    <col min="9" max="9" width="13.5" bestFit="1" customWidth="1"/>
    <col min="10" max="10" width="9.1640625" bestFit="1" customWidth="1"/>
  </cols>
  <sheetData>
    <row r="1" spans="1:13" ht="31.5" customHeight="1" x14ac:dyDescent="0.2">
      <c r="A1" s="110" t="s">
        <v>359</v>
      </c>
      <c r="B1" s="102"/>
      <c r="C1" s="102"/>
      <c r="D1" s="102"/>
      <c r="E1" s="102"/>
    </row>
    <row r="3" spans="1:13" ht="21.75" customHeight="1" x14ac:dyDescent="0.2">
      <c r="A3" s="126" t="s">
        <v>360</v>
      </c>
      <c r="B3" s="127"/>
      <c r="C3" s="127"/>
      <c r="D3" s="127"/>
      <c r="E3" s="127"/>
      <c r="G3" s="67"/>
      <c r="H3" s="67"/>
    </row>
    <row r="4" spans="1:13" ht="24" customHeight="1" x14ac:dyDescent="0.2">
      <c r="A4" s="37" t="s">
        <v>361</v>
      </c>
      <c r="B4" s="37" t="s">
        <v>362</v>
      </c>
      <c r="C4" s="37" t="s">
        <v>363</v>
      </c>
      <c r="D4" s="37" t="s">
        <v>364</v>
      </c>
      <c r="E4" s="37" t="s">
        <v>365</v>
      </c>
      <c r="G4" s="103" t="s">
        <v>34</v>
      </c>
      <c r="H4" s="102"/>
      <c r="I4" s="102"/>
      <c r="J4" s="102"/>
      <c r="K4" s="102"/>
      <c r="L4" s="102"/>
      <c r="M4" s="102"/>
    </row>
    <row r="5" spans="1:13" ht="36" customHeight="1" x14ac:dyDescent="0.2">
      <c r="A5" s="51" t="s">
        <v>366</v>
      </c>
      <c r="B5" s="52" t="s">
        <v>367</v>
      </c>
      <c r="C5" s="65">
        <v>25</v>
      </c>
      <c r="D5" s="52" t="s">
        <v>368</v>
      </c>
      <c r="E5" s="52" t="s">
        <v>369</v>
      </c>
      <c r="G5" s="5" t="s">
        <v>35</v>
      </c>
      <c r="H5" s="6" t="s">
        <v>36</v>
      </c>
    </row>
    <row r="6" spans="1:13" ht="36" customHeight="1" x14ac:dyDescent="0.2">
      <c r="A6" s="52"/>
      <c r="B6" s="52"/>
      <c r="C6" s="65">
        <v>15</v>
      </c>
      <c r="D6" s="52" t="s">
        <v>370</v>
      </c>
      <c r="E6" s="52" t="s">
        <v>371</v>
      </c>
      <c r="G6" s="5" t="s">
        <v>37</v>
      </c>
      <c r="H6" s="6" t="s">
        <v>38</v>
      </c>
      <c r="I6" s="6" t="s">
        <v>569</v>
      </c>
    </row>
    <row r="7" spans="1:13" ht="36" customHeight="1" x14ac:dyDescent="0.2">
      <c r="A7" s="52"/>
      <c r="B7" s="52"/>
      <c r="C7" s="65">
        <v>10</v>
      </c>
      <c r="D7" s="52" t="s">
        <v>372</v>
      </c>
      <c r="E7" s="52" t="s">
        <v>373</v>
      </c>
      <c r="G7" s="7" t="s">
        <v>39</v>
      </c>
      <c r="H7" s="8" t="s">
        <v>40</v>
      </c>
      <c r="I7" s="8" t="s">
        <v>570</v>
      </c>
    </row>
    <row r="8" spans="1:13" ht="36" customHeight="1" x14ac:dyDescent="0.2">
      <c r="A8" s="52"/>
      <c r="B8" s="52"/>
      <c r="C8" s="65">
        <v>5</v>
      </c>
      <c r="D8" s="52" t="s">
        <v>374</v>
      </c>
      <c r="E8" s="52" t="s">
        <v>375</v>
      </c>
      <c r="G8" s="9" t="s">
        <v>41</v>
      </c>
      <c r="H8" s="10" t="s">
        <v>42</v>
      </c>
      <c r="I8" s="10" t="s">
        <v>571</v>
      </c>
    </row>
    <row r="9" spans="1:13" ht="36" customHeight="1" x14ac:dyDescent="0.2">
      <c r="A9" s="52"/>
      <c r="B9" s="52"/>
      <c r="C9" s="65">
        <v>0</v>
      </c>
      <c r="D9" s="52" t="s">
        <v>376</v>
      </c>
      <c r="E9" s="52" t="s">
        <v>377</v>
      </c>
    </row>
    <row r="10" spans="1:13" ht="36" customHeight="1" x14ac:dyDescent="0.2">
      <c r="A10" s="53" t="s">
        <v>378</v>
      </c>
      <c r="B10" s="54" t="s">
        <v>367</v>
      </c>
      <c r="C10" s="66">
        <v>25</v>
      </c>
      <c r="D10" s="54" t="s">
        <v>379</v>
      </c>
      <c r="E10" s="54" t="s">
        <v>380</v>
      </c>
    </row>
    <row r="11" spans="1:13" ht="36" customHeight="1" x14ac:dyDescent="0.2">
      <c r="A11" s="54"/>
      <c r="B11" s="54"/>
      <c r="C11" s="66">
        <v>15</v>
      </c>
      <c r="D11" s="54" t="s">
        <v>381</v>
      </c>
      <c r="E11" s="54" t="s">
        <v>382</v>
      </c>
      <c r="H11" s="128">
        <v>31179</v>
      </c>
    </row>
    <row r="12" spans="1:13" ht="36" customHeight="1" x14ac:dyDescent="0.2">
      <c r="A12" s="54"/>
      <c r="B12" s="54"/>
      <c r="C12" s="66">
        <v>10</v>
      </c>
      <c r="D12" s="54" t="s">
        <v>383</v>
      </c>
      <c r="E12" s="54" t="s">
        <v>384</v>
      </c>
      <c r="H12" s="128">
        <v>21109</v>
      </c>
    </row>
    <row r="13" spans="1:13" ht="36" customHeight="1" x14ac:dyDescent="0.2">
      <c r="A13" s="54"/>
      <c r="B13" s="54"/>
      <c r="C13" s="66">
        <v>5</v>
      </c>
      <c r="D13" s="54" t="s">
        <v>385</v>
      </c>
      <c r="E13" s="54" t="s">
        <v>386</v>
      </c>
    </row>
    <row r="14" spans="1:13" ht="36" customHeight="1" x14ac:dyDescent="0.2">
      <c r="A14" s="54"/>
      <c r="B14" s="54"/>
      <c r="C14" s="66">
        <v>0</v>
      </c>
      <c r="D14" s="54" t="s">
        <v>387</v>
      </c>
      <c r="E14" s="54" t="s">
        <v>388</v>
      </c>
      <c r="H14" s="73" t="s">
        <v>575</v>
      </c>
      <c r="I14" s="73" t="s">
        <v>576</v>
      </c>
      <c r="J14" s="73" t="s">
        <v>577</v>
      </c>
    </row>
    <row r="15" spans="1:13" ht="36" customHeight="1" x14ac:dyDescent="0.2">
      <c r="A15" s="55" t="s">
        <v>389</v>
      </c>
      <c r="B15" s="56" t="s">
        <v>367</v>
      </c>
      <c r="C15" s="57">
        <v>25</v>
      </c>
      <c r="D15" s="56" t="s">
        <v>390</v>
      </c>
      <c r="E15" s="56" t="s">
        <v>391</v>
      </c>
      <c r="H15" s="73">
        <v>20050.835602558422</v>
      </c>
      <c r="I15" s="73">
        <v>11128.16439744158</v>
      </c>
      <c r="J15" s="18">
        <v>2025</v>
      </c>
    </row>
    <row r="16" spans="1:13" ht="36" customHeight="1" x14ac:dyDescent="0.2">
      <c r="A16" s="56"/>
      <c r="B16" s="56"/>
      <c r="C16" s="57">
        <v>15</v>
      </c>
      <c r="D16" s="56" t="s">
        <v>392</v>
      </c>
      <c r="E16" s="56" t="s">
        <v>393</v>
      </c>
      <c r="H16" s="73">
        <v>13574.941105693117</v>
      </c>
      <c r="I16" s="73">
        <v>7534.0588943068833</v>
      </c>
      <c r="J16" s="18">
        <v>2024</v>
      </c>
    </row>
    <row r="17" spans="1:10" ht="36" customHeight="1" x14ac:dyDescent="0.2">
      <c r="A17" s="56"/>
      <c r="B17" s="56"/>
      <c r="C17" s="57">
        <v>10</v>
      </c>
      <c r="D17" s="56" t="s">
        <v>394</v>
      </c>
      <c r="E17" s="56" t="s">
        <v>395</v>
      </c>
      <c r="H17" s="128">
        <v>20310</v>
      </c>
      <c r="I17" s="128">
        <v>11272</v>
      </c>
      <c r="J17" s="18">
        <v>2023</v>
      </c>
    </row>
    <row r="18" spans="1:10" ht="36" customHeight="1" x14ac:dyDescent="0.2">
      <c r="A18" s="56"/>
      <c r="B18" s="56"/>
      <c r="C18" s="57">
        <v>5</v>
      </c>
      <c r="D18" s="56" t="s">
        <v>396</v>
      </c>
      <c r="E18" s="56" t="s">
        <v>397</v>
      </c>
      <c r="H18" s="128">
        <v>21256.5</v>
      </c>
      <c r="I18" s="128">
        <v>12815</v>
      </c>
      <c r="J18" s="18">
        <v>2022</v>
      </c>
    </row>
    <row r="19" spans="1:10" ht="36" customHeight="1" x14ac:dyDescent="0.2">
      <c r="A19" s="56"/>
      <c r="B19" s="56"/>
      <c r="C19" s="57">
        <v>0</v>
      </c>
      <c r="D19" s="56" t="s">
        <v>398</v>
      </c>
      <c r="E19" s="56" t="s">
        <v>399</v>
      </c>
      <c r="H19" s="128">
        <v>18746.099999999999</v>
      </c>
      <c r="I19" s="128">
        <v>10107</v>
      </c>
      <c r="J19" s="18">
        <v>2021</v>
      </c>
    </row>
    <row r="20" spans="1:10" ht="36" customHeight="1" x14ac:dyDescent="0.2">
      <c r="A20" s="58" t="s">
        <v>400</v>
      </c>
      <c r="B20" s="59" t="s">
        <v>367</v>
      </c>
      <c r="C20" s="60">
        <v>25</v>
      </c>
      <c r="D20" s="59" t="s">
        <v>401</v>
      </c>
      <c r="E20" s="59" t="s">
        <v>402</v>
      </c>
      <c r="H20" s="128">
        <v>17578.8</v>
      </c>
      <c r="I20" s="128">
        <v>8530</v>
      </c>
      <c r="J20" s="18">
        <v>2020</v>
      </c>
    </row>
    <row r="21" spans="1:10" ht="36" customHeight="1" x14ac:dyDescent="0.2">
      <c r="A21" s="59"/>
      <c r="B21" s="59"/>
      <c r="C21" s="60">
        <v>15</v>
      </c>
      <c r="D21" s="59" t="s">
        <v>403</v>
      </c>
      <c r="E21" s="59" t="s">
        <v>404</v>
      </c>
      <c r="H21" s="128">
        <v>18289</v>
      </c>
      <c r="I21" s="128">
        <v>9048</v>
      </c>
      <c r="J21" s="18">
        <v>2019</v>
      </c>
    </row>
    <row r="22" spans="1:10" ht="36" customHeight="1" x14ac:dyDescent="0.2">
      <c r="A22" s="59"/>
      <c r="B22" s="59"/>
      <c r="C22" s="60">
        <v>10</v>
      </c>
      <c r="D22" s="59" t="s">
        <v>405</v>
      </c>
      <c r="E22" s="59" t="s">
        <v>406</v>
      </c>
    </row>
    <row r="23" spans="1:10" ht="36" customHeight="1" x14ac:dyDescent="0.2">
      <c r="A23" s="59"/>
      <c r="B23" s="59"/>
      <c r="C23" s="60">
        <v>5</v>
      </c>
      <c r="D23" s="59" t="s">
        <v>407</v>
      </c>
      <c r="E23" s="59" t="s">
        <v>408</v>
      </c>
      <c r="H23" s="73" t="s">
        <v>578</v>
      </c>
      <c r="I23" s="73" t="s">
        <v>579</v>
      </c>
      <c r="J23" s="73" t="s">
        <v>577</v>
      </c>
    </row>
    <row r="24" spans="1:10" ht="36" customHeight="1" x14ac:dyDescent="0.2">
      <c r="A24" s="59"/>
      <c r="B24" s="59"/>
      <c r="C24" s="60">
        <v>0</v>
      </c>
      <c r="D24" s="59" t="s">
        <v>409</v>
      </c>
      <c r="E24" s="59" t="s">
        <v>410</v>
      </c>
      <c r="H24" s="73">
        <v>13871.00838351438</v>
      </c>
      <c r="I24" s="73">
        <v>14160.091616485619</v>
      </c>
      <c r="J24" s="18">
        <v>2024</v>
      </c>
    </row>
    <row r="25" spans="1:10" x14ac:dyDescent="0.2">
      <c r="H25" s="128">
        <v>9179.1</v>
      </c>
      <c r="I25" s="128">
        <v>9370.4</v>
      </c>
      <c r="J25" s="18">
        <v>2023</v>
      </c>
    </row>
    <row r="26" spans="1:10" x14ac:dyDescent="0.2">
      <c r="H26" s="128">
        <v>7858.4</v>
      </c>
      <c r="I26" s="128">
        <v>8985</v>
      </c>
      <c r="J26" s="18">
        <v>2022</v>
      </c>
    </row>
    <row r="27" spans="1:10" ht="21.75" customHeight="1" x14ac:dyDescent="0.2">
      <c r="A27" s="125" t="s">
        <v>411</v>
      </c>
      <c r="B27" s="102"/>
      <c r="C27" s="102"/>
      <c r="D27" s="102"/>
      <c r="E27" s="102"/>
      <c r="H27" s="128">
        <v>13205</v>
      </c>
      <c r="I27" s="128">
        <v>12492.5</v>
      </c>
      <c r="J27" s="18">
        <v>2021</v>
      </c>
    </row>
    <row r="28" spans="1:10" ht="24" customHeight="1" x14ac:dyDescent="0.2">
      <c r="A28" s="37" t="s">
        <v>269</v>
      </c>
      <c r="B28" s="37" t="s">
        <v>412</v>
      </c>
      <c r="C28" s="37" t="s">
        <v>413</v>
      </c>
      <c r="D28" s="37" t="s">
        <v>414</v>
      </c>
      <c r="H28" s="128">
        <v>9046.2999999999993</v>
      </c>
      <c r="I28" s="128">
        <v>9898.2000000000007</v>
      </c>
      <c r="J28" s="18">
        <v>2020</v>
      </c>
    </row>
    <row r="29" spans="1:10" ht="25.5" customHeight="1" x14ac:dyDescent="0.2">
      <c r="A29" s="61" t="s">
        <v>415</v>
      </c>
      <c r="B29" s="62" t="s">
        <v>416</v>
      </c>
      <c r="C29" s="62">
        <v>15</v>
      </c>
      <c r="D29" s="62" t="s">
        <v>417</v>
      </c>
      <c r="H29" s="128">
        <v>9396.7999999999993</v>
      </c>
      <c r="I29" s="128">
        <v>8204.6</v>
      </c>
      <c r="J29" s="18">
        <v>2019</v>
      </c>
    </row>
    <row r="30" spans="1:10" ht="25.5" customHeight="1" x14ac:dyDescent="0.2">
      <c r="A30" s="15" t="s">
        <v>418</v>
      </c>
      <c r="B30" s="63" t="s">
        <v>419</v>
      </c>
      <c r="C30" s="63">
        <v>25</v>
      </c>
      <c r="D30" s="63" t="s">
        <v>420</v>
      </c>
    </row>
    <row r="31" spans="1:10" ht="25.5" customHeight="1" x14ac:dyDescent="0.2">
      <c r="A31" s="61" t="s">
        <v>421</v>
      </c>
      <c r="B31" s="62" t="s">
        <v>422</v>
      </c>
      <c r="C31" s="62" t="s">
        <v>423</v>
      </c>
      <c r="D31" s="62" t="s">
        <v>424</v>
      </c>
    </row>
    <row r="32" spans="1:10" ht="25.5" customHeight="1" x14ac:dyDescent="0.2">
      <c r="A32" s="15" t="s">
        <v>425</v>
      </c>
      <c r="B32" s="63" t="s">
        <v>426</v>
      </c>
      <c r="C32" s="63">
        <v>20</v>
      </c>
      <c r="D32" s="63" t="s">
        <v>427</v>
      </c>
    </row>
    <row r="33" spans="1:5" ht="25.5" customHeight="1" x14ac:dyDescent="0.2">
      <c r="A33" s="61" t="s">
        <v>428</v>
      </c>
      <c r="B33" s="62" t="s">
        <v>429</v>
      </c>
      <c r="C33" s="62">
        <v>25</v>
      </c>
      <c r="D33" s="62" t="s">
        <v>430</v>
      </c>
    </row>
    <row r="34" spans="1:5" ht="25.5" customHeight="1" x14ac:dyDescent="0.2">
      <c r="A34" s="15" t="s">
        <v>431</v>
      </c>
      <c r="B34" s="63" t="s">
        <v>432</v>
      </c>
      <c r="C34" s="63" t="s">
        <v>433</v>
      </c>
      <c r="D34" s="63" t="s">
        <v>434</v>
      </c>
    </row>
    <row r="35" spans="1:5" ht="25.5" customHeight="1" x14ac:dyDescent="0.2">
      <c r="A35" s="61" t="s">
        <v>435</v>
      </c>
      <c r="B35" s="62" t="s">
        <v>436</v>
      </c>
      <c r="C35" s="62">
        <v>15</v>
      </c>
      <c r="D35" s="62" t="s">
        <v>437</v>
      </c>
    </row>
    <row r="36" spans="1:5" ht="25.5" customHeight="1" x14ac:dyDescent="0.2">
      <c r="A36" s="15" t="s">
        <v>438</v>
      </c>
      <c r="B36" s="63" t="s">
        <v>439</v>
      </c>
      <c r="C36" s="63">
        <v>10</v>
      </c>
      <c r="D36" s="63" t="s">
        <v>440</v>
      </c>
    </row>
    <row r="37" spans="1:5" ht="25.5" customHeight="1" x14ac:dyDescent="0.2">
      <c r="A37" s="61" t="s">
        <v>441</v>
      </c>
      <c r="B37" s="62" t="s">
        <v>442</v>
      </c>
      <c r="C37" s="62">
        <v>15</v>
      </c>
      <c r="D37" s="62" t="s">
        <v>443</v>
      </c>
    </row>
    <row r="40" spans="1:5" ht="21.75" customHeight="1" x14ac:dyDescent="0.2">
      <c r="A40" s="103" t="s">
        <v>444</v>
      </c>
      <c r="B40" s="102"/>
      <c r="C40" s="102"/>
      <c r="D40" s="102"/>
      <c r="E40" s="102"/>
    </row>
    <row r="41" spans="1:5" ht="24" customHeight="1" x14ac:dyDescent="0.2">
      <c r="A41" s="37" t="s">
        <v>50</v>
      </c>
      <c r="B41" s="37" t="s">
        <v>445</v>
      </c>
      <c r="C41" s="37" t="s">
        <v>446</v>
      </c>
      <c r="D41" s="37" t="s">
        <v>447</v>
      </c>
      <c r="E41" s="37" t="s">
        <v>448</v>
      </c>
    </row>
    <row r="42" spans="1:5" ht="26" customHeight="1" x14ac:dyDescent="0.2">
      <c r="A42" s="15" t="s">
        <v>449</v>
      </c>
      <c r="B42" s="63" t="s">
        <v>450</v>
      </c>
      <c r="C42" s="63" t="s">
        <v>451</v>
      </c>
      <c r="D42" s="63" t="s">
        <v>452</v>
      </c>
      <c r="E42" s="63" t="s">
        <v>453</v>
      </c>
    </row>
    <row r="43" spans="1:5" ht="26" customHeight="1" x14ac:dyDescent="0.2">
      <c r="A43" s="61" t="s">
        <v>454</v>
      </c>
      <c r="B43" s="62" t="s">
        <v>455</v>
      </c>
      <c r="C43" s="62" t="s">
        <v>456</v>
      </c>
      <c r="D43" s="62" t="s">
        <v>457</v>
      </c>
      <c r="E43" s="62" t="s">
        <v>458</v>
      </c>
    </row>
    <row r="44" spans="1:5" ht="52" customHeight="1" x14ac:dyDescent="0.2">
      <c r="A44" s="15" t="s">
        <v>459</v>
      </c>
      <c r="B44" s="63" t="s">
        <v>460</v>
      </c>
      <c r="C44" s="63" t="s">
        <v>461</v>
      </c>
      <c r="D44" s="63" t="s">
        <v>462</v>
      </c>
      <c r="E44" s="63" t="s">
        <v>463</v>
      </c>
    </row>
    <row r="45" spans="1:5" ht="26" customHeight="1" x14ac:dyDescent="0.2">
      <c r="A45" s="61" t="s">
        <v>464</v>
      </c>
      <c r="B45" s="62" t="s">
        <v>465</v>
      </c>
      <c r="C45" s="62" t="s">
        <v>466</v>
      </c>
      <c r="D45" s="62" t="s">
        <v>467</v>
      </c>
      <c r="E45" s="62" t="s">
        <v>468</v>
      </c>
    </row>
    <row r="46" spans="1:5" ht="26" customHeight="1" x14ac:dyDescent="0.2">
      <c r="A46" s="15" t="s">
        <v>469</v>
      </c>
      <c r="B46" s="63" t="s">
        <v>470</v>
      </c>
      <c r="C46" s="63" t="s">
        <v>471</v>
      </c>
      <c r="D46" s="63" t="s">
        <v>472</v>
      </c>
      <c r="E46" s="63" t="s">
        <v>473</v>
      </c>
    </row>
    <row r="47" spans="1:5" ht="52" customHeight="1" x14ac:dyDescent="0.2">
      <c r="A47" s="61" t="s">
        <v>474</v>
      </c>
      <c r="B47" s="62" t="s">
        <v>475</v>
      </c>
      <c r="C47" s="62" t="s">
        <v>476</v>
      </c>
      <c r="D47" s="62" t="s">
        <v>477</v>
      </c>
      <c r="E47" s="62" t="s">
        <v>478</v>
      </c>
    </row>
    <row r="50" spans="1:5" x14ac:dyDescent="0.2">
      <c r="A50" s="103" t="s">
        <v>25</v>
      </c>
      <c r="B50" s="102"/>
      <c r="C50" s="102"/>
      <c r="D50" s="102"/>
      <c r="E50" s="102"/>
    </row>
    <row r="51" spans="1:5" x14ac:dyDescent="0.2">
      <c r="A51" s="4" t="s">
        <v>26</v>
      </c>
      <c r="B51" s="1" t="s">
        <v>27</v>
      </c>
    </row>
    <row r="52" spans="1:5" x14ac:dyDescent="0.2">
      <c r="A52" s="4" t="s">
        <v>28</v>
      </c>
      <c r="B52" s="1" t="s">
        <v>29</v>
      </c>
    </row>
    <row r="53" spans="1:5" x14ac:dyDescent="0.2">
      <c r="A53" s="4" t="s">
        <v>30</v>
      </c>
      <c r="B53" s="1" t="s">
        <v>31</v>
      </c>
    </row>
    <row r="54" spans="1:5" x14ac:dyDescent="0.2">
      <c r="A54" s="4" t="s">
        <v>32</v>
      </c>
      <c r="B54" s="1" t="s">
        <v>33</v>
      </c>
    </row>
  </sheetData>
  <mergeCells count="6">
    <mergeCell ref="G4:M4"/>
    <mergeCell ref="A50:E50"/>
    <mergeCell ref="A1:E1"/>
    <mergeCell ref="A40:E40"/>
    <mergeCell ref="A27:E27"/>
    <mergeCell ref="A3:E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5"/>
  <sheetViews>
    <sheetView topLeftCell="A24" workbookViewId="0">
      <selection activeCell="H31" sqref="H31"/>
    </sheetView>
  </sheetViews>
  <sheetFormatPr baseColWidth="10" defaultColWidth="8.83203125" defaultRowHeight="15" x14ac:dyDescent="0.2"/>
  <sheetData>
    <row r="1" spans="1:3" x14ac:dyDescent="0.2">
      <c r="A1" t="s">
        <v>479</v>
      </c>
      <c r="B1" t="s">
        <v>480</v>
      </c>
      <c r="C1" t="s">
        <v>481</v>
      </c>
    </row>
    <row r="2" spans="1:3" ht="409.6" x14ac:dyDescent="0.2">
      <c r="A2" s="72" t="s">
        <v>482</v>
      </c>
      <c r="B2">
        <v>5674000</v>
      </c>
      <c r="C2" s="72" t="s">
        <v>483</v>
      </c>
    </row>
    <row r="3" spans="1:3" ht="409.6" x14ac:dyDescent="0.2">
      <c r="A3" s="72" t="s">
        <v>484</v>
      </c>
      <c r="B3">
        <v>2300000</v>
      </c>
      <c r="C3" s="72" t="s">
        <v>483</v>
      </c>
    </row>
    <row r="4" spans="1:3" ht="409.6" x14ac:dyDescent="0.2">
      <c r="A4" s="72" t="s">
        <v>485</v>
      </c>
      <c r="B4">
        <v>1746000</v>
      </c>
      <c r="C4" s="72" t="s">
        <v>486</v>
      </c>
    </row>
    <row r="5" spans="1:3" ht="409.6" x14ac:dyDescent="0.2">
      <c r="A5" s="72" t="s">
        <v>487</v>
      </c>
      <c r="B5">
        <v>9452000</v>
      </c>
      <c r="C5" s="72" t="s">
        <v>488</v>
      </c>
    </row>
    <row r="6" spans="1:3" ht="395" x14ac:dyDescent="0.2">
      <c r="A6" s="72" t="s">
        <v>489</v>
      </c>
      <c r="B6">
        <v>284911157</v>
      </c>
      <c r="C6" s="72" t="s">
        <v>490</v>
      </c>
    </row>
    <row r="7" spans="1:3" ht="176" x14ac:dyDescent="0.2">
      <c r="A7" s="72" t="s">
        <v>491</v>
      </c>
      <c r="B7">
        <f>B6*0.00029307107</f>
        <v>83499.217636927991</v>
      </c>
      <c r="C7" s="72" t="s">
        <v>492</v>
      </c>
    </row>
    <row r="8" spans="1:3" ht="409.6" x14ac:dyDescent="0.2">
      <c r="A8" s="72" t="s">
        <v>493</v>
      </c>
      <c r="B8">
        <v>60</v>
      </c>
      <c r="C8" s="72" t="s">
        <v>494</v>
      </c>
    </row>
    <row r="9" spans="1:3" ht="409.6" x14ac:dyDescent="0.2">
      <c r="A9" s="72" t="s">
        <v>495</v>
      </c>
      <c r="B9">
        <v>470201</v>
      </c>
      <c r="C9" s="72" t="s">
        <v>496</v>
      </c>
    </row>
    <row r="10" spans="1:3" ht="395" x14ac:dyDescent="0.2">
      <c r="A10" s="72" t="s">
        <v>497</v>
      </c>
      <c r="B10">
        <v>694211</v>
      </c>
      <c r="C10" s="72" t="s">
        <v>498</v>
      </c>
    </row>
    <row r="11" spans="1:3" ht="395" x14ac:dyDescent="0.2">
      <c r="A11" s="72" t="s">
        <v>499</v>
      </c>
      <c r="B11">
        <v>227237</v>
      </c>
      <c r="C11" s="72" t="s">
        <v>498</v>
      </c>
    </row>
    <row r="12" spans="1:3" ht="395" x14ac:dyDescent="0.2">
      <c r="A12" s="72" t="s">
        <v>500</v>
      </c>
      <c r="B12">
        <v>269335</v>
      </c>
      <c r="C12" s="72" t="s">
        <v>498</v>
      </c>
    </row>
    <row r="13" spans="1:3" ht="128" x14ac:dyDescent="0.2">
      <c r="A13" s="72" t="s">
        <v>501</v>
      </c>
      <c r="B13">
        <f>SUM(B10:B12)</f>
        <v>1190783</v>
      </c>
      <c r="C13" s="72" t="s">
        <v>502</v>
      </c>
    </row>
    <row r="14" spans="1:3" ht="144" x14ac:dyDescent="0.2">
      <c r="A14" s="72" t="s">
        <v>503</v>
      </c>
      <c r="B14">
        <f>B13*0.90718474</f>
        <v>1080260.16625142</v>
      </c>
      <c r="C14" s="72" t="s">
        <v>504</v>
      </c>
    </row>
    <row r="15" spans="1:3" ht="409.6" x14ac:dyDescent="0.2">
      <c r="A15" s="72" t="s">
        <v>505</v>
      </c>
      <c r="B15">
        <v>12.62</v>
      </c>
      <c r="C15" s="72" t="s">
        <v>506</v>
      </c>
    </row>
    <row r="16" spans="1:3" ht="144" x14ac:dyDescent="0.2">
      <c r="A16" s="72" t="s">
        <v>507</v>
      </c>
      <c r="B16">
        <f>B15*1.05505585262</f>
        <v>13.314804860064399</v>
      </c>
      <c r="C16" s="72" t="s">
        <v>508</v>
      </c>
    </row>
    <row r="17" spans="1:3" ht="144" x14ac:dyDescent="0.2">
      <c r="A17" s="72" t="s">
        <v>509</v>
      </c>
      <c r="B17">
        <f>100*(B11+B12)/B13</f>
        <v>41.701300740773085</v>
      </c>
      <c r="C17" s="72" t="s">
        <v>510</v>
      </c>
    </row>
    <row r="18" spans="1:3" ht="409.6" x14ac:dyDescent="0.2">
      <c r="A18" s="72" t="s">
        <v>511</v>
      </c>
      <c r="B18">
        <v>13369</v>
      </c>
      <c r="C18" s="72" t="s">
        <v>512</v>
      </c>
    </row>
    <row r="19" spans="1:3" ht="409.6" x14ac:dyDescent="0.2">
      <c r="A19" s="72" t="s">
        <v>513</v>
      </c>
      <c r="B19">
        <v>21109</v>
      </c>
      <c r="C19" s="76" t="s">
        <v>317</v>
      </c>
    </row>
    <row r="20" spans="1:3" ht="409.6" x14ac:dyDescent="0.2">
      <c r="A20" s="72" t="s">
        <v>514</v>
      </c>
      <c r="B20">
        <v>3386</v>
      </c>
      <c r="C20" s="76" t="s">
        <v>515</v>
      </c>
    </row>
    <row r="21" spans="1:3" ht="96" x14ac:dyDescent="0.2">
      <c r="A21" s="72" t="s">
        <v>516</v>
      </c>
      <c r="B21">
        <f>100*B20/B19</f>
        <v>16.040551423563407</v>
      </c>
      <c r="C21" s="72" t="s">
        <v>517</v>
      </c>
    </row>
    <row r="22" spans="1:3" ht="409.6" x14ac:dyDescent="0.2">
      <c r="A22" s="72" t="s">
        <v>518</v>
      </c>
      <c r="B22">
        <v>1466</v>
      </c>
      <c r="C22" s="76" t="s">
        <v>319</v>
      </c>
    </row>
    <row r="23" spans="1:3" ht="409.6" x14ac:dyDescent="0.2">
      <c r="A23" s="72" t="s">
        <v>519</v>
      </c>
      <c r="B23">
        <v>520444261</v>
      </c>
      <c r="C23" s="76" t="s">
        <v>520</v>
      </c>
    </row>
    <row r="24" spans="1:3" ht="272" x14ac:dyDescent="0.2">
      <c r="A24" s="72" t="s">
        <v>521</v>
      </c>
      <c r="B24">
        <v>51.321800000000003</v>
      </c>
      <c r="C24" s="72" t="s">
        <v>522</v>
      </c>
    </row>
    <row r="25" spans="1:3" ht="176" x14ac:dyDescent="0.2">
      <c r="A25" s="72" t="s">
        <v>523</v>
      </c>
      <c r="B25">
        <f>B23*B24/1000000</f>
        <v>26710.136274189801</v>
      </c>
      <c r="C25" s="72" t="s">
        <v>524</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Content</vt:lpstr>
      <vt:lpstr>1_Dictionary_Checklist</vt:lpstr>
      <vt:lpstr>Sheet1</vt:lpstr>
      <vt:lpstr>ESG</vt:lpstr>
      <vt:lpstr>E Data_Inventory</vt:lpstr>
      <vt:lpstr>S Data_Inventory </vt:lpstr>
      <vt:lpstr>G Data_Inventory </vt:lpstr>
      <vt:lpstr>P Data_Inventory</vt:lpstr>
      <vt:lpstr>3_Cross-Source Compare</vt:lpstr>
      <vt:lpstr>4_Summary</vt:lpstr>
      <vt:lpstr>Tables_for_Reference</vt:lpstr>
      <vt:lpstr>zz_Helper_Calcs</vt:lpstr>
      <vt:lpstr>S_Paper_Production_2019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Emilio Ledesma Silva</cp:lastModifiedBy>
  <cp:revision/>
  <dcterms:created xsi:type="dcterms:W3CDTF">2026-03-24T16:19:02Z</dcterms:created>
  <dcterms:modified xsi:type="dcterms:W3CDTF">2026-05-03T03:24:49Z</dcterms:modified>
  <cp:category/>
  <cp:contentStatus/>
</cp:coreProperties>
</file>